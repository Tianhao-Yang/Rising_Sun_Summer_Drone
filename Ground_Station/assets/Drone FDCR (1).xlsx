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 Estimation" sheetId="1" r:id="rId4"/>
    <sheet state="visible" name="Diverging &amp; converging_1" sheetId="2" r:id="rId5"/>
    <sheet state="visible" name="Diverging &amp; converging_2" sheetId="3" r:id="rId6"/>
    <sheet state="visible" name="Diverging &amp;converging_3" sheetId="4" r:id="rId7"/>
    <sheet state="visible" name="Product" sheetId="5" r:id="rId8"/>
  </sheets>
  <definedNames/>
  <calcPr/>
  <extLst>
    <ext uri="GoogleSheetsCustomDataVersion2">
      <go:sheetsCustomData xmlns:go="http://customooxmlschemas.google.com/" r:id="rId9" roundtripDataChecksum="ljwpej7TMQ5rBkcvY/cJiqEiPx47D74StS8hC9ohN7U="/>
    </ext>
  </extLst>
</workbook>
</file>

<file path=xl/sharedStrings.xml><?xml version="1.0" encoding="utf-8"?>
<sst xmlns="http://schemas.openxmlformats.org/spreadsheetml/2006/main" count="490" uniqueCount="253">
  <si>
    <t>System</t>
  </si>
  <si>
    <t>Components</t>
  </si>
  <si>
    <t>Weight(g) Estimation</t>
  </si>
  <si>
    <t>Youtube 1 weight</t>
  </si>
  <si>
    <t>Youtube 1 components</t>
  </si>
  <si>
    <t>Drone</t>
  </si>
  <si>
    <t>Mechanical system</t>
  </si>
  <si>
    <t>frame</t>
  </si>
  <si>
    <t>Upgrade ZD550 550mm</t>
  </si>
  <si>
    <t>foam</t>
  </si>
  <si>
    <t>cover</t>
  </si>
  <si>
    <t>shock mount</t>
  </si>
  <si>
    <t>Electrical system</t>
  </si>
  <si>
    <t>Battery</t>
  </si>
  <si>
    <t>MaxAmps 6500mAh 4S LiPo Battery
https://maxamps.com/products/lipo-6500-4s2p-14-8v-battery-pack</t>
  </si>
  <si>
    <t>Power module</t>
  </si>
  <si>
    <t>Controller
Receiver</t>
  </si>
  <si>
    <t>Pixhawk</t>
  </si>
  <si>
    <t>HAWK’S WORK Pixhawk PX4 Flight
 Controller</t>
  </si>
  <si>
    <t>PDB</t>
  </si>
  <si>
    <t xml:space="preserve">( need to have washer) </t>
  </si>
  <si>
    <t>ESC*4</t>
  </si>
  <si>
    <t>Motor</t>
  </si>
  <si>
    <t>KDE Direct 2315XF-885KV 14P
https://www.kdedirect.com/products/kde2315xf-885?_pos=1&amp;_sid=3e5845d09&amp;_ss=r</t>
  </si>
  <si>
    <t>https://unmannedrc.com/products/unmannedrc-x550-quadcopter-educational-or-diy-full-kit?variant=45092810817733</t>
  </si>
  <si>
    <t>DC-DC</t>
  </si>
  <si>
    <t>Pi</t>
  </si>
  <si>
    <t>Breakout Board for Teensy 4.0 Module 33 Pins 3.81mm / 0.15" Screw Terminal Expansion Board 3 Types Output Compatible for Arduino</t>
  </si>
  <si>
    <t>https://www.amazon.ca/TYXTTGY-ZD550-550mm-Carbon-Quadcopter/dp/B0F5WLPBWK/ref=sr_1_43?dib=eyJ2IjoiMSJ9.vLxQrenK1RVgY_jlJaRzMsiNZzQBrfVnLYj74SMOaIzokMxROs16hes3OVNcdq_0EJWkIlvD0ARznrDgLMX-zFuMl7ElbyXgk5CHtfbTAlTHicf_5gF6vfbFl66_5FaGMvpxTXbKh4fvLNutX_8aTsll0Uea8KJFHbCOH3YJVl529OaQHlfiZ1egmoZK1vsZ7IjNh_He3kvkbqPx5p1NrHSdK_UF_KksEp8yGAttwlWVh3zhsLVTAA-dnau4emtGwRIp9K8WnGTAsaNrIERtPIsCB0AEzMivLBCUvH2rPvs.9MZ-Tkeuk-eRxrnHgEazYx4L_uqV9qyAw4q2xYvAl8o&amp;dib_tag=se&amp;keywords=550%2Bmm%2Bdrone%2Bkit&amp;qid=1778648409&amp;sr=8-43&amp;th=1</t>
  </si>
  <si>
    <t>Navi light *4</t>
  </si>
  <si>
    <t>Strobe light*4</t>
  </si>
  <si>
    <t>Beacon light*2</t>
  </si>
  <si>
    <t>Landing light*2</t>
  </si>
  <si>
    <t>Buzzer</t>
  </si>
  <si>
    <t>Camera</t>
  </si>
  <si>
    <t>VTX</t>
  </si>
  <si>
    <t xml:space="preserve">Lidar </t>
  </si>
  <si>
    <t xml:space="preserve">Ultrasonic Sensor </t>
  </si>
  <si>
    <t>Software system</t>
  </si>
  <si>
    <t>Ardu Pilot</t>
  </si>
  <si>
    <t>Pi FSM</t>
  </si>
  <si>
    <t>Price</t>
  </si>
  <si>
    <t>Propeller</t>
  </si>
  <si>
    <t>Voltage</t>
  </si>
  <si>
    <t>Current</t>
  </si>
  <si>
    <t>Thrust</t>
  </si>
  <si>
    <t>Weight</t>
  </si>
  <si>
    <t>Max Battery</t>
  </si>
  <si>
    <t>ESC</t>
  </si>
  <si>
    <t>Hover Current = 750g</t>
  </si>
  <si>
    <t xml:space="preserve">Hover current total </t>
  </si>
  <si>
    <t xml:space="preserve">Voltage </t>
  </si>
  <si>
    <t xml:space="preserve">Capacity </t>
  </si>
  <si>
    <t xml:space="preserve">Weight </t>
  </si>
  <si>
    <t>https://sunnyskyusa.com/collections/all-motors/products/sunnysky-x2220</t>
  </si>
  <si>
    <t>APC9060</t>
  </si>
  <si>
    <t>4S</t>
  </si>
  <si>
    <t>3S-4S</t>
  </si>
  <si>
    <t>40A</t>
  </si>
  <si>
    <t>https://genstattu.com/tattu-g-tech-4s-22000mah-14-8v-25c-lipo-battery-with-xt90-s-plug-for-uav/</t>
  </si>
  <si>
    <t>22000mAh</t>
  </si>
  <si>
    <t>25C</t>
  </si>
  <si>
    <t>https://genstattu.com/tattu-16000mah-30c-14-8v-4s-lipo-battery-pack-with-xt90s-f-plug/</t>
  </si>
  <si>
    <t>16000mAh</t>
  </si>
  <si>
    <t>30C</t>
  </si>
  <si>
    <t>Motors</t>
  </si>
  <si>
    <t>APC1047</t>
  </si>
  <si>
    <t>https://chinahobbyline.com/collections/uav-battery/products/cnhl-20000mah-14-8v-4s-15c-lipo-battery-with-xt90-plug?variant=45987312664790</t>
  </si>
  <si>
    <t>20000mAh</t>
  </si>
  <si>
    <t>15C</t>
  </si>
  <si>
    <t>4S 20000mAh 1560g</t>
  </si>
  <si>
    <t>https://sunnyskyusa.com/collections/all-motors/products/sunnysky-x2814</t>
  </si>
  <si>
    <t>？</t>
  </si>
  <si>
    <t>https://epicfpv.ca/products/talon-40a-slim-esc-blheli_32-f3-mcu?srsltid=AfmBOoprjATcpDmGpbVlsvSzOOGLmS9yg23nAjDTi-hEasocI55W90LT</t>
  </si>
  <si>
    <t>https://chinahobbyline.com/collections/uav-battery/products/cnhl-16000mah-14-8v-4s-15c-lipo-battery-with-xt90-plug</t>
  </si>
  <si>
    <t>https://sunnyskyusa.com/collections/multirotor-motors/products/sunnysky-v2814-motors</t>
  </si>
  <si>
    <t>4S 16000mAh 1270g</t>
  </si>
  <si>
    <t>https://sunnyskyusa.com/collections/all-motors/products/sunnysky-x2814-brushless-motors</t>
  </si>
  <si>
    <t>https://www.hobbywingdirect.com/products/xrotor-40a-esc?srsltid=AfmBOoroPji65yMCFQeMXMMnkFxXB0f7Mk4cvbd6BnrTLQ3XmigwOu8b&amp;variant=955949541</t>
  </si>
  <si>
    <t>https://sunnyskyusa.com/collections/all-motors/products/sunnysky-x2820-brushless-motors</t>
  </si>
  <si>
    <t>APC9045</t>
  </si>
  <si>
    <t>APC9047</t>
  </si>
  <si>
    <t>SunnySky X Series V3 X2814 V3 Brushless Motors</t>
  </si>
  <si>
    <t>APC11*5.5</t>
  </si>
  <si>
    <t>40A-60A</t>
  </si>
  <si>
    <t>APC11*8</t>
  </si>
  <si>
    <t>APC11*7</t>
  </si>
  <si>
    <t>APC13*6.5</t>
  </si>
  <si>
    <t>3S-5S</t>
  </si>
  <si>
    <t>60A</t>
  </si>
  <si>
    <t>APC12*6</t>
  </si>
  <si>
    <t>APC13*8</t>
  </si>
  <si>
    <t>https://sunnyskyusa.com/collections/multirotor-motors/products/sunnysky-x3108s-motors</t>
  </si>
  <si>
    <t>APC1038</t>
  </si>
  <si>
    <t>(40A)</t>
  </si>
  <si>
    <t>APC1147</t>
  </si>
  <si>
    <t>APC11*4.7</t>
  </si>
  <si>
    <t>1600(100%)</t>
  </si>
  <si>
    <t>(30A)</t>
  </si>
  <si>
    <t>7 -&gt; 830g</t>
  </si>
  <si>
    <t>APC12*3.8</t>
  </si>
  <si>
    <t>1530(85%)</t>
  </si>
  <si>
    <t>1810(100%)</t>
  </si>
  <si>
    <t>APC13*4</t>
  </si>
  <si>
    <t>1400(85%)</t>
  </si>
  <si>
    <t>5.7 -&gt; 790g</t>
  </si>
  <si>
    <t>1660(100%)</t>
  </si>
  <si>
    <t>APC15*4</t>
  </si>
  <si>
    <t>1460(65%)</t>
  </si>
  <si>
    <t>1720(85%)</t>
  </si>
  <si>
    <t>1980(100%)</t>
  </si>
  <si>
    <t>5S</t>
  </si>
  <si>
    <t>1580(75%)</t>
  </si>
  <si>
    <t>6.7 -&gt; 920g</t>
  </si>
  <si>
    <t>1840(85%)</t>
  </si>
  <si>
    <t>2130(100%)</t>
  </si>
  <si>
    <t>1650(75%)</t>
  </si>
  <si>
    <t>5.3 -&gt; 850g</t>
  </si>
  <si>
    <t>1920(85%)</t>
  </si>
  <si>
    <t>2300(100%)</t>
  </si>
  <si>
    <t>https://www.hobbywingdirect.com/collections/uav-system/products/xrotor-fpv-2807-motors?variant=42186475339891</t>
  </si>
  <si>
    <t>4-6S</t>
  </si>
  <si>
    <t>56.7A/6S</t>
  </si>
  <si>
    <t>2810(1300KV)</t>
  </si>
  <si>
    <t>(60A)</t>
  </si>
  <si>
    <t>HQ7×3.5×3 prop: 8.5
HQ7×4×3 prop: 8.8</t>
  </si>
  <si>
    <t>4-5S</t>
  </si>
  <si>
    <t>59.5A/7S</t>
  </si>
  <si>
    <t>2646(1500KV)</t>
  </si>
  <si>
    <t>3-4S</t>
  </si>
  <si>
    <t>53.5A/13S</t>
  </si>
  <si>
    <t>2205(1700KV)</t>
  </si>
  <si>
    <t>Telemetry</t>
  </si>
  <si>
    <t>Power</t>
  </si>
  <si>
    <t>40A/60AMax</t>
  </si>
  <si>
    <t>No</t>
  </si>
  <si>
    <t>2S-6S</t>
  </si>
  <si>
    <t>26g</t>
  </si>
  <si>
    <t>Yes</t>
  </si>
  <si>
    <t>3S-6S</t>
  </si>
  <si>
    <t>6.8g</t>
  </si>
  <si>
    <t>Aircooler</t>
  </si>
  <si>
    <t>https://www.hobbywing.com/en/products/xrotor-fpv-g2-45a-4in1-esc</t>
  </si>
  <si>
    <t>https://holybro.com/products/tekko32-f4-4in1-50a-esc?srsltid=AfmBOopnr6Cizy1oQoWUoQlwixkwnwy5EkGsRhDV2OEv06csC1X7Pt4i</t>
  </si>
  <si>
    <t>Battery Description</t>
  </si>
  <si>
    <t>Motors Description</t>
  </si>
  <si>
    <t>ESCs</t>
  </si>
  <si>
    <t>ESC Description</t>
  </si>
  <si>
    <t>Drone Weight</t>
  </si>
  <si>
    <t>Single motor 
Max thrust</t>
  </si>
  <si>
    <t>Hover thrust</t>
  </si>
  <si>
    <t>Hover Motor
Current</t>
  </si>
  <si>
    <t>Hover Total 
Current</t>
  </si>
  <si>
    <t>Hovering Time</t>
  </si>
  <si>
    <t>Voltage: 4S
Capacity: 20000mAh
Weight: 1560g
15C</t>
  </si>
  <si>
    <t>Weight: 108g
Voltage: 4S
Max Thrust: 2299(APC11*5.5)
MaxT = 65, 10min</t>
  </si>
  <si>
    <t>Current: 40A/60A Max
Telemetry: Yes
Voltage: 3S-6S
Weight: 6.8g</t>
  </si>
  <si>
    <t>3463g~3500g</t>
  </si>
  <si>
    <t>1750g</t>
  </si>
  <si>
    <t>875g</t>
  </si>
  <si>
    <t>Weight: 108g
Voltage: 4S
Max Thrust: 2320(APC11*8)
MaxT = 94, 3min</t>
  </si>
  <si>
    <t>Current: 40A/60A Max
Telemetry: No
Voltage: 2S-6S
Weight:  26g</t>
  </si>
  <si>
    <t>3537g~3600g</t>
  </si>
  <si>
    <t>1800g</t>
  </si>
  <si>
    <t>900g</t>
  </si>
  <si>
    <t>Weight: 120g
Voltage: 4S
Max Thrust: 1810(APC12*3.8)
MaxT = 70</t>
  </si>
  <si>
    <t xml:space="preserve">Current: 40A/60A Max
Telemetry: Yes
Voltage: 3S-6S
Weight: 6.8g
</t>
  </si>
  <si>
    <t>3511g~3550g</t>
  </si>
  <si>
    <t>1775g</t>
  </si>
  <si>
    <t>888g</t>
  </si>
  <si>
    <t>Weight: 120g
Voltage: 4S
Max Thrust: 1980(APC15*4)
MaxT = 70</t>
  </si>
  <si>
    <t>Weight: 108g
Voltage: 4S
Max Thrust: 2020(APC11*7)
MaxT = 61</t>
  </si>
  <si>
    <t>Weight: 108g
Voltage: 4S
Max Thrust: 1950(APC11*5.5)
MaxT = 48</t>
  </si>
  <si>
    <t>Weight: 108g
Voltage: 4S
Max Thrust: 1950(APC11*5.5)
MaxT = 59</t>
  </si>
  <si>
    <t>Voltage: 4S
Capacity: 16000mAh
Weight: 1270g
15C</t>
  </si>
  <si>
    <t>3137g~3200g</t>
  </si>
  <si>
    <t>1600g</t>
  </si>
  <si>
    <t>800g</t>
  </si>
  <si>
    <t>3274g~3300g</t>
  </si>
  <si>
    <t>1650g</t>
  </si>
  <si>
    <t>825g</t>
  </si>
  <si>
    <t>3137g-3200g</t>
  </si>
  <si>
    <t xml:space="preserve">Current: 40A/60A Max
Telemetry: Yes
Voltage: 3S-6S
Weight: 26g
</t>
  </si>
  <si>
    <t>额定电流
最大电流</t>
  </si>
  <si>
    <t xml:space="preserve">Battery </t>
  </si>
  <si>
    <t xml:space="preserve">Battery Description </t>
  </si>
  <si>
    <t>Max current</t>
  </si>
  <si>
    <t xml:space="preserve">Link </t>
  </si>
  <si>
    <t>Specifications</t>
  </si>
  <si>
    <t>https://www.aliexpress.com/item/1005004062843638.html</t>
  </si>
  <si>
    <t>Analog video transmitter</t>
  </si>
  <si>
    <t>https://www.amazon.ca/Koarmy-5-8Ghz-Wireless-Transmitter-1000TVL/dp/B0D76KDKB1</t>
  </si>
  <si>
    <t>5.8Ghz
2W
20Km
64.5g</t>
  </si>
  <si>
    <t>https://www.amazon.ca/Transmitter-700TVL-Degree-Camera-Quadcopter/dp/B01N5A6SHM</t>
  </si>
  <si>
    <t>5.8Ghz
600mW
3Km
28.35g</t>
  </si>
  <si>
    <t>https://www.aliexpress.com/item/1005008470126543.html</t>
  </si>
  <si>
    <t>5.8Ghz
1w
2-5Km
60g
Powered by 2-4S via JST connector by default
4 levels of adjustable power: 100mW, 200mW, 400mW, and 1000mW
VTX: 7-26V DC
Camera: 5V DC</t>
  </si>
  <si>
    <t>https://www.aliexpress.com/item/1005008007238497.html</t>
  </si>
  <si>
    <t>RC signal transmitting range</t>
  </si>
  <si>
    <t>https://radiomasterrc.com/collections/receivers/products/rp3-expresslrs-2-4ghz-nano-receiver</t>
  </si>
  <si>
    <t xml:space="preserve">2.4Ghz ELRS
2 antenna </t>
  </si>
  <si>
    <t xml:space="preserve">Telemetry radio </t>
  </si>
  <si>
    <t>https://www.aliexpress.com/item/1005006542476053.html</t>
  </si>
  <si>
    <t>915Mhz
1000mW</t>
  </si>
  <si>
    <t>https://www.aliexpress.com/item/1005008280978116.html?src=google</t>
  </si>
  <si>
    <t xml:space="preserve">Pixhawk </t>
  </si>
  <si>
    <t>6C
Max input voltage: 6V
USB power input: 4.75~5.25V
servo rail input: 0-36V
TELEM1 Max output current limiter: 1.5A
All other port combined output current limiter: 1.5A
33g</t>
  </si>
  <si>
    <t>https://www.amazon.ca/Vernijtrdy-Receiver-2-4GHZ-Aircraft-Reception/dp/B0DWN2WT85</t>
  </si>
  <si>
    <t>Voltage: 2S-12S
PCB Cont. Current Rating: 60A
PCB Burst Current Rating: 100A(&lt;60sec)
Max Current Sensing: 120A
Output: DC 5.2V &amp; 3A Max
Voltage Divider: 18.182
Amperes per Volt: 36.364</t>
  </si>
  <si>
    <t>GPS</t>
  </si>
  <si>
    <t>M9N
Accuracy: 1.5m</t>
  </si>
  <si>
    <t>https://www.pishop.ca/product/raspberry-pi-4-model-b-4gb/?src=raspberrypi</t>
  </si>
  <si>
    <t>4GB</t>
  </si>
  <si>
    <t>Motor*4</t>
  </si>
  <si>
    <t>https://www.aliexpress.com/item/33010633621.html</t>
  </si>
  <si>
    <t xml:space="preserve">Voltage: 3S-4S
BEC 5V 2A (2.5A 10sec) -&gt; DC-DC
BEC 12V -&gt; VTX
6ESC output &amp;1 pair VCC/GND pads
</t>
  </si>
  <si>
    <t>https://www.amazon.ca/ZORZA-Regulator-Antijamming-Switching-Quadcopter/dp/B0CQ1R55BV</t>
  </si>
  <si>
    <t>https://www.aliexpress.com/i/33020848100.html</t>
  </si>
  <si>
    <t>5V， 5A</t>
  </si>
  <si>
    <t>https://www.aliexpress.com/item/4000215177842.html</t>
  </si>
  <si>
    <t>https://www.amazon.ca/RuiLing-Decibels-Continuous-Sounder-Electronic/dp/B07NK8MGL9</t>
  </si>
  <si>
    <t>https://www.aliexpress.com/item/1005009369607974.html</t>
  </si>
  <si>
    <t>https://www.aliexpress.com/item/32852024277.html</t>
  </si>
  <si>
    <t>Product</t>
  </si>
  <si>
    <t>Description</t>
  </si>
  <si>
    <t>Weight (g)</t>
  </si>
  <si>
    <t>Propotion
system</t>
  </si>
  <si>
    <t>"Voltage: 4S
Capacity: 20000mAh
15C
Weight: 1560g</t>
  </si>
  <si>
    <t>https://www.alibaba.com/product-detail/Tarot-700KV-Motor-TL68B17-Multi-axis_1601038988774.html</t>
  </si>
  <si>
    <t>Weight: 120g
Voltage: 4S
Max Thrust: 1810(APC12*3.8)
MaxT = 70"</t>
  </si>
  <si>
    <t>https://item.taobao.com/item.htm?abbucket=6&amp;id=745842377561&amp;mi_id=0000WRAlEvrOvU-NPz0iO-UwB0ETkdphn
DED2anIwpRKV1I&amp;ns=1&amp;priceTId=2150454917793804562808166e0fb9&amp;skuId=5142216528925&amp;spm=a21n57.1.hover
Item.1&amp;utparam=%7B%22aplus_abtest%22%3A%223cc33a16c2e12cf65a70a74454cee2a2%22%7D&amp;xxc=taobaoSearch</t>
  </si>
  <si>
    <t>Talon 40A Slim ESC Blheli_32 F3 MCU – EpicFPV</t>
  </si>
  <si>
    <t>https://epicfpv.ca/products/talon-40a-slim-esc-blheli_32-f3-mcu?srsltid=AfmBOoprjATcpDmGpbVlsvSzOOGLmS9yg23n
AjDTi-hEasocI55W90LT</t>
  </si>
  <si>
    <t>Propellar</t>
  </si>
  <si>
    <t>https://www.apcprop.com/product/12x3-8sf-b4/?v=3e8d115eb4b3</t>
  </si>
  <si>
    <t>Weight: 18g
APC 12* 3.8</t>
  </si>
  <si>
    <t>https://item.taobao.com/item.htm?ali_refid=a3_430620_1006%3A1268210151%3AH%3A4oc7A3p8TyJD93vx
YufOSzVb5%2Bk6PK7i%3A85ac173ed714e57f1b8cd4023cd87e09&amp;ali_trackid=283_85ac173ed714e57f1b8cd4023cd
87e09&amp;id=1005300961105&amp;mi_id=0000QJqRmBP2cOHzpjZDB7StR55auRdszExuX8X4h6EytKw&amp;mm_sceneid=1_0_
129748716_0&amp;priceTId=2100c8df17793807938121052e0cea&amp;skuId=6164042443797&amp;spm=a21n57.1.hoverItem.1&amp;ut
param=%7B%22aplus_abtest%22%3A%2249cc4b11ce2521e003db9ae62a55138f%22%7D&amp;xxc=ad_ztc</t>
  </si>
  <si>
    <t>Control System</t>
  </si>
  <si>
    <t>https://item.taobao.com/item.htm?id=873609950755&amp;pisk=gzhoYWqI3YyWmFj2sMPWnbskxW9xw7NQYDCLvWEe3orj
y6LSyx4EvmTBP73UxDmYc4CpP4Hc-VimxJT7vkrnv2kJkCdtP4NQTBx96CEFDsMIxzPUUi8U5ySyk8oAQT88ThK96tQ
4F3FEJuA3jju4cyfPaToF3tz_0yWzTDr43PzO4WPEYEV48yazYzzPg-z80MSz4yu2gzUgYgzzzE04cPNUYDyyoqrb8WrE
aYBzXXkZghMLRYu0_Xl0r8qZoI1FtazPXl0zh6f3qmeky4rcT6lmdRg-NuJ1kkN8V4UoAC17aJDsJymkZ_on5ji0ucRh6uuj
WAeSapCTISrupbukqB0mtu2Za-bpWqV08DynhhfTr7H0IbDWRiurXuDaN2QM2q2inRa43wXzwA3tORlyZGZYCym8DcR
NiSyF4CXVQCbGOr8Kg96QUra0XaqywmcRv0rMoEXtR8zb5lLDo96QUra0XEYcBXwzlPZO.&amp;spm=pc_detail.30350276.
guessitem.d2&amp;skuId=5708268584687</t>
  </si>
  <si>
    <t>Telemetry
Radio</t>
  </si>
  <si>
    <t>Voltage: 2S-12S
PCB Cont. Current Rating: 60A
PCB Burst Current Rating: 100A(&lt;60sec)
Max Current Sensing: 120A
Output: DC 5.2V &amp; 3A Max
Voltage Divider: 18.182
Amperes per Volt: 36.364"</t>
  </si>
  <si>
    <t>"M9N
Accuracy: 1.5m"</t>
  </si>
  <si>
    <t>https://item.taobao.com/item.htm?abbucket=6&amp;id=920742370781&amp;mi_id=0000TsZZI4IkphOQHmaIwtVecBSioLO8yMP
oRCiDbt77ZOU&amp;ns=1&amp;priceTId=215041d017793791320268689e0f65&amp;skuId=5796315073733&amp;spm=a21n57.1.hoverI
tem.12&amp;utparam=%7B%22aplus_abtest%22%3A%22ffd70e95a52f7cbd3e2908d7770af98d%22%7D&amp;xxc=taobaoSearch</t>
  </si>
  <si>
    <t>5V, 5A</t>
  </si>
  <si>
    <t>Lights</t>
  </si>
  <si>
    <t>Lidar</t>
  </si>
  <si>
    <t xml:space="preserve">RC reveiver </t>
  </si>
  <si>
    <t>https://item.taobao.com/item.htm?abbucket=6&amp;id=753200908155&amp;mi_id=0000CcY5rRV2k_CR1TKlmxUck4dAjgjAw-
jEtZRf4Ml1Zsg&amp;ns=1&amp;priceTId=215046ae17793782071154520e0fde&amp;skuId=5736209579616&amp;spm=a21n57.1.hoverIte
m.42&amp;utparam=%7B%22aplus_abtest%22%3A%2229139f928278af91fea950879a716df4%22%7D&amp;xxc=taobaoSearch</t>
  </si>
  <si>
    <t>Analog video
 transmitter</t>
  </si>
  <si>
    <t>Mechanical System</t>
  </si>
  <si>
    <t>Frame</t>
  </si>
  <si>
    <t>frame size: 550</t>
  </si>
  <si>
    <t>https://www.taobao.com/list/item/798720065262.htm?spm=a21wu.11804641.shop-content.34.6cc466238IHCYS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</si>
</sst>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u/>
      <sz val="11.0"/>
      <color theme="10"/>
      <name val="Aptos Narrow"/>
    </font>
    <font>
      <u/>
      <color rgb="FF467886"/>
      <name val="Arial"/>
    </font>
    <font>
      <u/>
      <color rgb="FF0000FF"/>
      <name val="Arial"/>
    </font>
    <font/>
    <font>
      <u/>
      <color rgb="FF467886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467886"/>
      <name val="Arial"/>
    </font>
    <font>
      <u/>
      <color rgb="FF0000FF"/>
      <name val="Arial"/>
    </font>
    <font>
      <u/>
      <color rgb="FF467886"/>
      <name val="Arial"/>
    </font>
    <font>
      <u/>
      <color rgb="FF0000FF"/>
      <name val="Arial"/>
    </font>
    <font>
      <u/>
      <color rgb="FF0000FF"/>
      <name val="Arial"/>
    </font>
    <font>
      <u/>
      <color rgb="FF467886"/>
      <name val="Arial"/>
    </font>
    <font>
      <sz val="10.0"/>
      <color theme="1"/>
      <name val="Aptos Narrow"/>
      <scheme val="minor"/>
    </font>
    <font>
      <u/>
      <color rgb="FF467886"/>
      <name val="Arial"/>
    </font>
    <font>
      <u/>
      <color rgb="FF0000FF"/>
      <name val="Arial"/>
    </font>
    <font>
      <u/>
      <color rgb="FF467886"/>
      <name val="Arial"/>
    </font>
    <font>
      <u/>
      <color rgb="FF467886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467886"/>
      <name val="Arial"/>
    </font>
    <font>
      <u/>
      <color rgb="FF0000FF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Font="1"/>
    <xf borderId="1" fillId="0" fontId="3" numFmtId="0" xfId="0" applyAlignment="1" applyBorder="1" applyFont="1">
      <alignment readingOrder="0"/>
    </xf>
    <xf borderId="2" fillId="2" fontId="5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readingOrder="0"/>
    </xf>
    <xf borderId="1" fillId="3" fontId="9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3" fontId="12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2" fillId="4" fontId="13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2" fillId="4" fontId="14" numFmtId="0" xfId="0" applyAlignment="1" applyBorder="1" applyFont="1">
      <alignment readingOrder="0"/>
    </xf>
    <xf borderId="2" fillId="4" fontId="1" numFmtId="0" xfId="0" applyBorder="1" applyFont="1"/>
    <xf borderId="2" fillId="2" fontId="15" numFmtId="0" xfId="0" applyAlignment="1" applyBorder="1" applyFont="1">
      <alignment readingOrder="0"/>
    </xf>
    <xf borderId="1" fillId="2" fontId="1" numFmtId="0" xfId="0" applyBorder="1" applyFont="1"/>
    <xf borderId="1" fillId="0" fontId="1" numFmtId="0" xfId="0" applyBorder="1" applyFont="1"/>
    <xf borderId="1" fillId="0" fontId="16" numFmtId="0" xfId="0" applyAlignment="1" applyBorder="1" applyFont="1">
      <alignment readingOrder="0"/>
    </xf>
    <xf borderId="1" fillId="3" fontId="17" numFmtId="0" xfId="0" applyAlignment="1" applyBorder="1" applyFont="1">
      <alignment readingOrder="0"/>
    </xf>
    <xf borderId="1" fillId="2" fontId="18" numFmtId="0" xfId="0" applyBorder="1" applyFont="1"/>
    <xf borderId="1" fillId="2" fontId="19" numFmtId="0" xfId="0" applyAlignment="1" applyBorder="1" applyFont="1">
      <alignment readingOrder="0"/>
    </xf>
    <xf borderId="2" fillId="0" fontId="20" numFmtId="0" xfId="0" applyAlignment="1" applyBorder="1" applyFont="1">
      <alignment horizontal="left" readingOrder="0"/>
    </xf>
    <xf borderId="2" fillId="0" fontId="21" numFmtId="0" xfId="0" applyAlignment="1" applyBorder="1" applyFont="1">
      <alignment readingOrder="0"/>
    </xf>
    <xf borderId="1" fillId="3" fontId="1" numFmtId="0" xfId="0" applyBorder="1" applyFont="1"/>
    <xf borderId="2" fillId="0" fontId="22" numFmtId="0" xfId="0" applyAlignment="1" applyBorder="1" applyFont="1">
      <alignment horizontal="left" readingOrder="0"/>
    </xf>
    <xf borderId="2" fillId="0" fontId="1" numFmtId="0" xfId="0" applyBorder="1" applyFont="1"/>
    <xf borderId="2" fillId="3" fontId="1" numFmtId="0" xfId="0" applyBorder="1" applyFont="1"/>
    <xf borderId="1" fillId="0" fontId="23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0" fillId="0" fontId="24" numFmtId="0" xfId="0" applyAlignment="1" applyFont="1">
      <alignment readingOrder="0"/>
    </xf>
    <xf borderId="0" fillId="3" fontId="25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6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0" fillId="0" fontId="0" numFmtId="0" xfId="0" applyFont="1"/>
    <xf borderId="0" fillId="3" fontId="1" numFmtId="0" xfId="0" applyFont="1"/>
    <xf borderId="0" fillId="3" fontId="27" numFmtId="0" xfId="0" applyAlignment="1" applyFont="1">
      <alignment readingOrder="0"/>
    </xf>
    <xf borderId="0" fillId="4" fontId="1" numFmtId="0" xfId="0" applyFont="1"/>
    <xf borderId="1" fillId="0" fontId="28" numFmtId="0" xfId="0" applyAlignment="1" applyBorder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nmannedrc.com/products/unmannedrc-x550-quadcopter-educational-or-diy-full-kit?variant=45092810817733" TargetMode="External"/><Relationship Id="rId2" Type="http://schemas.openxmlformats.org/officeDocument/2006/relationships/hyperlink" Target="https://www.amazon.ca/TYXTTGY-ZD550-550mm-Carbon-Quadcopter/dp/B0F5WLPBWK/ref=sr_1_43?dib=eyJ2IjoiMSJ9.vLxQrenK1RVgY_jlJaRzMsiNZzQBrfVnLYj74SMOaIzokMxROs16hes3OVNcdq_0EJWkIlvD0ARznrDgLMX-zFuMl7ElbyXgk5CHtfbTAlTHicf_5gF6vfbFl66_5FaGMvpxTXbKh4fvLNutX_8aTsll0Uea8KJFHbCOH3YJVl529OaQHlfiZ1egmoZK1vsZ7IjNh_He3kvkbqPx5p1NrHSdK_UF_KksEp8yGAttwlWVh3zhsLVTAA-dnau4emtGwRIp9K8WnGTAsaNrIERtPIsCB0AEzMivLBCUvH2rPvs.9MZ-Tkeuk-eRxrnHgEazYx4L_uqV9qyAw4q2xYvAl8o&amp;dib_tag=se&amp;keywords=550%2Bmm%2Bdrone%2Bkit&amp;qid=1778648409&amp;sr=8-43&amp;th=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obbywing.com/en/products/xrotor-fpv-g2-45a-4in1-esc" TargetMode="External"/><Relationship Id="rId11" Type="http://schemas.openxmlformats.org/officeDocument/2006/relationships/hyperlink" Target="https://sunnyskyusa.com/collections/all-motors/products/sunnysky-x2820-brushless-motors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www.hobbywingdirect.com/products/xrotor-40a-esc?srsltid=AfmBOoroPji65yMCFQeMXMMnkFxXB0f7Mk4cvbd6BnrTLQ3XmigwOu8b&amp;variant=955949541" TargetMode="External"/><Relationship Id="rId21" Type="http://schemas.openxmlformats.org/officeDocument/2006/relationships/hyperlink" Target="https://holybro.com/products/tekko32-f4-4in1-50a-esc?srsltid=AfmBOopnr6Cizy1oQoWUoQlwixkwnwy5EkGsRhDV2OEv06csC1X7Pt4i" TargetMode="External"/><Relationship Id="rId13" Type="http://schemas.openxmlformats.org/officeDocument/2006/relationships/hyperlink" Target="https://sunnyskyusa.com/collections/all-motors/products/sunnysky-x2814-brushless-motors" TargetMode="External"/><Relationship Id="rId12" Type="http://schemas.openxmlformats.org/officeDocument/2006/relationships/hyperlink" Target="https://sunnyskyusa.com/collections/all-motors/products/sunnysky-x2814" TargetMode="External"/><Relationship Id="rId1" Type="http://schemas.openxmlformats.org/officeDocument/2006/relationships/hyperlink" Target="https://sunnyskyusa.com/collections/all-motors/products/sunnysky-x2220" TargetMode="External"/><Relationship Id="rId2" Type="http://schemas.openxmlformats.org/officeDocument/2006/relationships/hyperlink" Target="https://genstattu.com/tattu-g-tech-4s-22000mah-14-8v-25c-lipo-battery-with-xt90-s-plug-for-uav/" TargetMode="External"/><Relationship Id="rId3" Type="http://schemas.openxmlformats.org/officeDocument/2006/relationships/hyperlink" Target="https://genstattu.com/tattu-16000mah-30c-14-8v-4s-lipo-battery-pack-with-xt90s-f-plug/" TargetMode="External"/><Relationship Id="rId4" Type="http://schemas.openxmlformats.org/officeDocument/2006/relationships/hyperlink" Target="https://chinahobbyline.com/collections/uav-battery/products/cnhl-20000mah-14-8v-4s-15c-lipo-battery-with-xt90-plug?variant=45987312664790" TargetMode="External"/><Relationship Id="rId9" Type="http://schemas.openxmlformats.org/officeDocument/2006/relationships/hyperlink" Target="https://sunnyskyusa.com/collections/all-motors/products/sunnysky-x2814-brushless-motors" TargetMode="External"/><Relationship Id="rId15" Type="http://schemas.openxmlformats.org/officeDocument/2006/relationships/hyperlink" Target="https://sunnyskyusa.com/collections/multirotor-motors/products/sunnysky-x3108s-motors" TargetMode="External"/><Relationship Id="rId14" Type="http://schemas.openxmlformats.org/officeDocument/2006/relationships/hyperlink" Target="https://sunnyskyusa.com/collections/all-motors/products/sunnysky-x2820-brushless-motors" TargetMode="External"/><Relationship Id="rId17" Type="http://schemas.openxmlformats.org/officeDocument/2006/relationships/hyperlink" Target="https://www.hobbywingdirect.com/collections/uav-system/products/xrotor-fpv-2807-motors?variant=42186475339891" TargetMode="External"/><Relationship Id="rId16" Type="http://schemas.openxmlformats.org/officeDocument/2006/relationships/hyperlink" Target="https://sunnyskyusa.com/collections/multirotor-motors/products/sunnysky-v2814-motors" TargetMode="External"/><Relationship Id="rId5" Type="http://schemas.openxmlformats.org/officeDocument/2006/relationships/hyperlink" Target="https://sunnyskyusa.com/collections/all-motors/products/sunnysky-x2814" TargetMode="External"/><Relationship Id="rId19" Type="http://schemas.openxmlformats.org/officeDocument/2006/relationships/hyperlink" Target="https://epicfpv.ca/products/talon-40a-slim-esc-blheli_32-f3-mcu?srsltid=AfmBOoprjATcpDmGpbVlsvSzOOGLmS9yg23nAjDTi-hEasocI55W90LT" TargetMode="External"/><Relationship Id="rId6" Type="http://schemas.openxmlformats.org/officeDocument/2006/relationships/hyperlink" Target="https://epicfpv.ca/products/talon-40a-slim-esc-blheli_32-f3-mcu?srsltid=AfmBOoprjATcpDmGpbVlsvSzOOGLmS9yg23nAjDTi-hEasocI55W90LT" TargetMode="External"/><Relationship Id="rId18" Type="http://schemas.openxmlformats.org/officeDocument/2006/relationships/hyperlink" Target="https://www.hobbywingdirect.com/products/xrotor-40a-esc?srsltid=AfmBOoroPji65yMCFQeMXMMnkFxXB0f7Mk4cvbd6BnrTLQ3XmigwOu8b&amp;variant=955949541" TargetMode="External"/><Relationship Id="rId7" Type="http://schemas.openxmlformats.org/officeDocument/2006/relationships/hyperlink" Target="https://chinahobbyline.com/collections/uav-battery/products/cnhl-16000mah-14-8v-4s-15c-lipo-battery-with-xt90-plug" TargetMode="External"/><Relationship Id="rId8" Type="http://schemas.openxmlformats.org/officeDocument/2006/relationships/hyperlink" Target="https://sunnyskyusa.com/collections/multirotor-motors/products/sunnysky-v2814-motor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unnyskyusa.com/collections/multirotor-motors/products/sunnysky-v2814-motors" TargetMode="External"/><Relationship Id="rId22" Type="http://schemas.openxmlformats.org/officeDocument/2006/relationships/hyperlink" Target="https://chinahobbyline.com/collections/uav-battery/products/cnhl-16000mah-14-8v-4s-15c-lipo-battery-with-xt90-plug" TargetMode="External"/><Relationship Id="rId21" Type="http://schemas.openxmlformats.org/officeDocument/2006/relationships/hyperlink" Target="https://epicfpv.ca/products/talon-40a-slim-esc-blheli_32-f3-mcu?srsltid=AfmBOoprjATcpDmGpbVlsvSzOOGLmS9yg23nAjDTi-hEasocI55W90LT" TargetMode="External"/><Relationship Id="rId24" Type="http://schemas.openxmlformats.org/officeDocument/2006/relationships/hyperlink" Target="https://epicfpv.ca/products/talon-40a-slim-esc-blheli_32-f3-mcu?srsltid=AfmBOoprjATcpDmGpbVlsvSzOOGLmS9yg23nAjDTi-hEasocI55W90LT" TargetMode="External"/><Relationship Id="rId23" Type="http://schemas.openxmlformats.org/officeDocument/2006/relationships/hyperlink" Target="https://sunnyskyusa.com/collections/multirotor-motors/products/sunnysky-v2814-motors" TargetMode="External"/><Relationship Id="rId1" Type="http://schemas.openxmlformats.org/officeDocument/2006/relationships/hyperlink" Target="https://chinahobbyline.com/collections/uav-battery/products/cnhl-20000mah-14-8v-4s-15c-lipo-battery-with-xt90-plug?variant=45987312664790" TargetMode="External"/><Relationship Id="rId2" Type="http://schemas.openxmlformats.org/officeDocument/2006/relationships/hyperlink" Target="https://sunnyskyusa.com/collections/all-motors/products/sunnysky-x2814" TargetMode="External"/><Relationship Id="rId3" Type="http://schemas.openxmlformats.org/officeDocument/2006/relationships/hyperlink" Target="https://epicfpv.ca/products/talon-40a-slim-esc-blheli_32-f3-mcu?srsltid=AfmBOoprjATcpDmGpbVlsvSzOOGLmS9yg23nAjDTi-hEasocI55W90LT" TargetMode="External"/><Relationship Id="rId4" Type="http://schemas.openxmlformats.org/officeDocument/2006/relationships/hyperlink" Target="https://www.hobbywingdirect.com/products/xrotor-40a-esc?srsltid=AfmBOoroPji65yMCFQeMXMMnkFxXB0f7Mk4cvbd6BnrTLQ3XmigwOu8b&amp;variant=955949541" TargetMode="External"/><Relationship Id="rId9" Type="http://schemas.openxmlformats.org/officeDocument/2006/relationships/hyperlink" Target="https://www.hobbywingdirect.com/products/xrotor-40a-esc?srsltid=AfmBOoroPji65yMCFQeMXMMnkFxXB0f7Mk4cvbd6BnrTLQ3XmigwOu8b&amp;variant=955949541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sunnyskyusa.com/collections/multirotor-motors/products/sunnysky-v2814-motors" TargetMode="External"/><Relationship Id="rId6" Type="http://schemas.openxmlformats.org/officeDocument/2006/relationships/hyperlink" Target="https://epicfpv.ca/products/talon-40a-slim-esc-blheli_32-f3-mcu?srsltid=AfmBOoprjATcpDmGpbVlsvSzOOGLmS9yg23nAjDTi-hEasocI55W90LT" TargetMode="External"/><Relationship Id="rId7" Type="http://schemas.openxmlformats.org/officeDocument/2006/relationships/hyperlink" Target="https://sunnyskyusa.com/collections/all-motors/products/sunnysky-x2814-brushless-motors" TargetMode="External"/><Relationship Id="rId8" Type="http://schemas.openxmlformats.org/officeDocument/2006/relationships/hyperlink" Target="https://epicfpv.ca/products/talon-40a-slim-esc-blheli_32-f3-mcu?srsltid=AfmBOoprjATcpDmGpbVlsvSzOOGLmS9yg23nAjDTi-hEasocI55W90LT" TargetMode="External"/><Relationship Id="rId11" Type="http://schemas.openxmlformats.org/officeDocument/2006/relationships/hyperlink" Target="https://sunnyskyusa.com/collections/all-motors/products/sunnysky-x2814" TargetMode="External"/><Relationship Id="rId10" Type="http://schemas.openxmlformats.org/officeDocument/2006/relationships/hyperlink" Target="https://chinahobbyline.com/collections/uav-battery/products/cnhl-16000mah-14-8v-4s-15c-lipo-battery-with-xt90-plug" TargetMode="External"/><Relationship Id="rId13" Type="http://schemas.openxmlformats.org/officeDocument/2006/relationships/hyperlink" Target="https://www.hobbywingdirect.com/products/xrotor-40a-esc?srsltid=AfmBOoroPji65yMCFQeMXMMnkFxXB0f7Mk4cvbd6BnrTLQ3XmigwOu8b&amp;variant=955949541" TargetMode="External"/><Relationship Id="rId12" Type="http://schemas.openxmlformats.org/officeDocument/2006/relationships/hyperlink" Target="https://epicfpv.ca/products/talon-40a-slim-esc-blheli_32-f3-mcu?srsltid=AfmBOoprjATcpDmGpbVlsvSzOOGLmS9yg23nAjDTi-hEasocI55W90LT" TargetMode="External"/><Relationship Id="rId15" Type="http://schemas.openxmlformats.org/officeDocument/2006/relationships/hyperlink" Target="https://epicfpv.ca/products/talon-40a-slim-esc-blheli_32-f3-mcu?srsltid=AfmBOoprjATcpDmGpbVlsvSzOOGLmS9yg23nAjDTi-hEasocI55W90LT" TargetMode="External"/><Relationship Id="rId14" Type="http://schemas.openxmlformats.org/officeDocument/2006/relationships/hyperlink" Target="https://sunnyskyusa.com/collections/multirotor-motors/products/sunnysky-v2814-motors" TargetMode="External"/><Relationship Id="rId17" Type="http://schemas.openxmlformats.org/officeDocument/2006/relationships/hyperlink" Target="https://epicfpv.ca/products/talon-40a-slim-esc-blheli_32-f3-mcu?srsltid=AfmBOoprjATcpDmGpbVlsvSzOOGLmS9yg23nAjDTi-hEasocI55W90LT" TargetMode="External"/><Relationship Id="rId16" Type="http://schemas.openxmlformats.org/officeDocument/2006/relationships/hyperlink" Target="https://sunnyskyusa.com/collections/all-motors/products/sunnysky-x2814-brushless-motors" TargetMode="External"/><Relationship Id="rId19" Type="http://schemas.openxmlformats.org/officeDocument/2006/relationships/hyperlink" Target="https://chinahobbyline.com/collections/uav-battery/products/cnhl-20000mah-14-8v-4s-15c-lipo-battery-with-xt90-plug?variant=45987312664790" TargetMode="External"/><Relationship Id="rId18" Type="http://schemas.openxmlformats.org/officeDocument/2006/relationships/hyperlink" Target="https://www.hobbywingdirect.com/products/xrotor-40a-esc?srsltid=AfmBOoroPji65yMCFQeMXMMnkFxXB0f7Mk4cvbd6BnrTLQ3XmigwOu8b&amp;variant=955949541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a/RuiLing-Decibels-Continuous-Sounder-Electronic/dp/B07NK8MGL9" TargetMode="External"/><Relationship Id="rId22" Type="http://schemas.openxmlformats.org/officeDocument/2006/relationships/hyperlink" Target="https://www.aliexpress.com/item/32852024277.html" TargetMode="External"/><Relationship Id="rId21" Type="http://schemas.openxmlformats.org/officeDocument/2006/relationships/hyperlink" Target="https://www.aliexpress.com/item/1005009369607974.html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www.aliexpress.com/item/1005004062843638.html" TargetMode="External"/><Relationship Id="rId2" Type="http://schemas.openxmlformats.org/officeDocument/2006/relationships/hyperlink" Target="https://www.amazon.ca/Koarmy-5-8Ghz-Wireless-Transmitter-1000TVL/dp/B0D76KDKB1" TargetMode="External"/><Relationship Id="rId3" Type="http://schemas.openxmlformats.org/officeDocument/2006/relationships/hyperlink" Target="https://www.amazon.ca/Transmitter-700TVL-Degree-Camera-Quadcopter/dp/B01N5A6SHM" TargetMode="External"/><Relationship Id="rId4" Type="http://schemas.openxmlformats.org/officeDocument/2006/relationships/hyperlink" Target="https://www.aliexpress.com/item/1005008470126543.html" TargetMode="External"/><Relationship Id="rId9" Type="http://schemas.openxmlformats.org/officeDocument/2006/relationships/hyperlink" Target="https://www.aliexpress.com/item/1005008280978116.html?src=google" TargetMode="External"/><Relationship Id="rId5" Type="http://schemas.openxmlformats.org/officeDocument/2006/relationships/hyperlink" Target="https://www.aliexpress.com/item/1005008007238497.html" TargetMode="External"/><Relationship Id="rId6" Type="http://schemas.openxmlformats.org/officeDocument/2006/relationships/hyperlink" Target="https://radiomasterrc.com/collections/receivers/products/rp3-expresslrs-2-4ghz-nano-receiver" TargetMode="External"/><Relationship Id="rId7" Type="http://schemas.openxmlformats.org/officeDocument/2006/relationships/hyperlink" Target="https://chinahobbyline.com/collections/uav-battery/products/cnhl-20000mah-14-8v-4s-15c-lipo-battery-with-xt90-plug?variant=45987312664790" TargetMode="External"/><Relationship Id="rId8" Type="http://schemas.openxmlformats.org/officeDocument/2006/relationships/hyperlink" Target="https://www.aliexpress.com/item/1005006542476053.html" TargetMode="External"/><Relationship Id="rId11" Type="http://schemas.openxmlformats.org/officeDocument/2006/relationships/hyperlink" Target="https://www.aliexpress.com/item/1005008007238497.html" TargetMode="External"/><Relationship Id="rId10" Type="http://schemas.openxmlformats.org/officeDocument/2006/relationships/hyperlink" Target="https://www.amazon.ca/Vernijtrdy-Receiver-2-4GHZ-Aircraft-Reception/dp/B0DWN2WT85" TargetMode="External"/><Relationship Id="rId13" Type="http://schemas.openxmlformats.org/officeDocument/2006/relationships/hyperlink" Target="https://www.pishop.ca/product/raspberry-pi-4-model-b-4gb/?src=raspberrypi" TargetMode="External"/><Relationship Id="rId12" Type="http://schemas.openxmlformats.org/officeDocument/2006/relationships/hyperlink" Target="https://epicfpv.ca/products/talon-40a-slim-esc-blheli_32-f3-mcu?srsltid=AfmBOoprjATcpDmGpbVlsvSzOOGLmS9yg23nAjDTi-hEasocI55W90LT" TargetMode="External"/><Relationship Id="rId15" Type="http://schemas.openxmlformats.org/officeDocument/2006/relationships/hyperlink" Target="https://www.aliexpress.com/item/33010633621.html" TargetMode="External"/><Relationship Id="rId14" Type="http://schemas.openxmlformats.org/officeDocument/2006/relationships/hyperlink" Target="https://sunnyskyusa.com/collections/all-motors/products/sunnysky-x2814-brushless-motors" TargetMode="External"/><Relationship Id="rId17" Type="http://schemas.openxmlformats.org/officeDocument/2006/relationships/hyperlink" Target="https://www.aliexpress.com/i/33020848100.html" TargetMode="External"/><Relationship Id="rId16" Type="http://schemas.openxmlformats.org/officeDocument/2006/relationships/hyperlink" Target="https://www.amazon.ca/ZORZA-Regulator-Antijamming-Switching-Quadcopter/dp/B0CQ1R55BV" TargetMode="External"/><Relationship Id="rId19" Type="http://schemas.openxmlformats.org/officeDocument/2006/relationships/hyperlink" Target="https://www.aliexpress.com/item/4000215177842.html" TargetMode="External"/><Relationship Id="rId18" Type="http://schemas.openxmlformats.org/officeDocument/2006/relationships/hyperlink" Target="https://www.pishop.ca/product/raspberry-pi-4-model-b-4gb/?src=raspberrypi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express.com/item/32852024277.html" TargetMode="External"/><Relationship Id="rId22" Type="http://schemas.openxmlformats.org/officeDocument/2006/relationships/hyperlink" Target="https://item.taobao.com/item.htm?abbucket=6&amp;id=753200908155&amp;mi_id=0000CcY5rRV2k_CR1TKlmxUck4dAjgjAw-jEtZRf4Ml1Zsg&amp;ns=1&amp;priceTId=215046ae17793782071154520e0fde&amp;skuId=5736209579616&amp;spm=a21n57.1.hoverItem.42&amp;utparam=%7B%22aplus_abtest%22%3A%2229139f928278af91fea950879a716df4%22%7D&amp;xxc=taobaoSearch" TargetMode="External"/><Relationship Id="rId21" Type="http://schemas.openxmlformats.org/officeDocument/2006/relationships/hyperlink" Target="https://radiomasterrc.com/collections/receivers/products/rp3-expresslrs-2-4ghz-nano-receiver" TargetMode="External"/><Relationship Id="rId24" Type="http://schemas.openxmlformats.org/officeDocument/2006/relationships/hyperlink" Target="https://www.aliexpress.com/item/1005008470126543.html" TargetMode="External"/><Relationship Id="rId23" Type="http://schemas.openxmlformats.org/officeDocument/2006/relationships/hyperlink" Target="https://www.aliexpress.com/item/1005008470126543.html" TargetMode="External"/><Relationship Id="rId1" Type="http://schemas.openxmlformats.org/officeDocument/2006/relationships/hyperlink" Target="https://chinahobbyline.com/collections/uav-battery/products/cnhl-16000mah-14-8v-4s-15c-lipo-battery-with-xt90-plug" TargetMode="External"/><Relationship Id="rId2" Type="http://schemas.openxmlformats.org/officeDocument/2006/relationships/hyperlink" Target="https://chinahobbyline.com/collections/uav-battery/products/cnhl-16000mah-14-8v-4s-15c-lipo-battery-with-xt90-plug" TargetMode="External"/><Relationship Id="rId3" Type="http://schemas.openxmlformats.org/officeDocument/2006/relationships/hyperlink" Target="https://www.alibaba.com/product-detail/Tarot-700KV-Motor-TL68B17-Multi-axis_1601038988774.html" TargetMode="External"/><Relationship Id="rId4" Type="http://schemas.openxmlformats.org/officeDocument/2006/relationships/hyperlink" Target="https://item.taobao.com/item.htm?abbucket=6&amp;id=745842377561&amp;mi_id=0000WRAlEvrOvU-NPz0iO-UwB0ETkdphnDED2anIwpRKV1I&amp;ns=1&amp;priceTId=2150454917793804562808166e0fb9&amp;skuId=5142216528925&amp;spm=a21n57.1.hoverItem.1&amp;utparam=%7B%22aplus_abtest%22%3A%223cc33a16c2e12cf65a70a74454cee2a2%22%7D&amp;xxc=taobaoSearch" TargetMode="External"/><Relationship Id="rId9" Type="http://schemas.openxmlformats.org/officeDocument/2006/relationships/hyperlink" Target="https://www.aliexpress.com/item/1005006542476053.html" TargetMode="External"/><Relationship Id="rId26" Type="http://schemas.openxmlformats.org/officeDocument/2006/relationships/hyperlink" Target="https://www.taobao.com/list/item/798720065262.htm?spm=a21wu.11804641.shop-content.34.6cc466238IHCYS" TargetMode="External"/><Relationship Id="rId25" Type="http://schemas.openxmlformats.org/officeDocument/2006/relationships/hyperlink" Target="https://www.aliexpress.com/item/1005004062843638.html" TargetMode="External"/><Relationship Id="rId27" Type="http://schemas.openxmlformats.org/officeDocument/2006/relationships/drawing" Target="../drawings/drawing5.xml"/><Relationship Id="rId5" Type="http://schemas.openxmlformats.org/officeDocument/2006/relationships/hyperlink" Target="https://epicfpv.ca/products/talon-40a-slim-esc-blheli_32-f3-mcu?srsltid=AfmBOoprjATcpDmGpbVlsvSzOOGLmS9yg23nAjDTi-hEasocI55W90LT" TargetMode="External"/><Relationship Id="rId6" Type="http://schemas.openxmlformats.org/officeDocument/2006/relationships/hyperlink" Target="https://epicfpv.ca/products/talon-40a-slim-esc-blheli_32-f3-mcu?srsltid=AfmBOoprjATcpDmGpbVlsvSzOOGLmS9yg23nAjDTi-hEasocI55W90LT" TargetMode="External"/><Relationship Id="rId7" Type="http://schemas.openxmlformats.org/officeDocument/2006/relationships/hyperlink" Target="https://www.apcprop.com/product/12x3-8sf-b4/?v=3e8d115eb4b3" TargetMode="External"/><Relationship Id="rId8" Type="http://schemas.openxmlformats.org/officeDocument/2006/relationships/hyperlink" Target="https://item.taobao.com/item.htm?ali_refid=a3_430620_1006%3A1268210151%3AH%3A4oc7A3p8TyJD93vxYufOSzVb5%2Bk6PK7i%3A85ac173ed714e57f1b8cd4023cd87e09&amp;ali_trackid=283_85ac173ed714e57f1b8cd4023cd87e09&amp;id=1005300961105&amp;mi_id=0000QJqRmBP2cOHzpjZDB7StR55auRdszExuX8X4h6EytKw&amp;mm_sceneid=1_0_129748716_0&amp;priceTId=2100c8df17793807938121052e0cea&amp;skuId=6164042443797&amp;spm=a21n57.1.hoverItem.1&amp;utparam=%7B%22aplus_abtest%22%3A%2249cc4b11ce2521e003db9ae62a55138f%22%7D&amp;xxc=ad_ztc" TargetMode="External"/><Relationship Id="rId11" Type="http://schemas.openxmlformats.org/officeDocument/2006/relationships/hyperlink" Target="https://www.pishop.ca/product/raspberry-pi-4-model-b-4gb/?src=raspberrypi" TargetMode="External"/><Relationship Id="rId10" Type="http://schemas.openxmlformats.org/officeDocument/2006/relationships/hyperlink" Target="https://item.taobao.com/item.htm?id=873609950755&amp;pisk=gzhoYWqI3YyWmFj2sMPWnbskxW9xw7NQYDCLvWEe3orjy6LSyx4EvmTBP73UxDmYc4CpP4Hc-VimxJT7vkrnv2kJkCdtP4NQTBx96CEFDsMIxzPUUi8U5ySyk8oAQT88ThK96tQ4F3FEJuA3jju4cyfPaToF3tz_0yWzTDr43PzO4WPEYEV48yazYzzPg-z80MSz4yu2gzUgYgzzzE04cPNUYDyyoqrb8WrEaYBzXXkZghMLRYu0_Xl0r8qZoI1FtazPXl0zh6f3qmeky4rcT6lmdRg-NuJ1kkN8V4UoAC17aJDsJymkZ_on5ji0ucRh6uujWAeSapCTISrupbukqB0mtu2Za-bpWqV08DynhhfTr7H0IbDWRiurXuDaN2QM2q2inRa43wXzwA3tORlyZGZYCym8DcRNiSyF4CXVQCbGOr8Kg96QUra0XaqywmcRv0rMoEXtR8zb5lLDo96QUra0XEYcBXwzlPZO.&amp;spm=pc_detail.30350276.guessitem.d2&amp;skuId=5708268584687" TargetMode="External"/><Relationship Id="rId13" Type="http://schemas.openxmlformats.org/officeDocument/2006/relationships/hyperlink" Target="https://www.aliexpress.com/item/33010633621.html" TargetMode="External"/><Relationship Id="rId12" Type="http://schemas.openxmlformats.org/officeDocument/2006/relationships/hyperlink" Target="https://item.taobao.com/item.htm?abbucket=6&amp;id=920742370781&amp;mi_id=0000TsZZI4IkphOQHmaIwtVecBSioLO8yMPoRCiDbt77ZOU&amp;ns=1&amp;priceTId=215041d017793791320268689e0f65&amp;skuId=5796315073733&amp;spm=a21n57.1.hoverItem.12&amp;utparam=%7B%22aplus_abtest%22%3A%22ffd70e95a52f7cbd3e2908d7770af98d%22%7D&amp;xxc=taobaoSearch" TargetMode="External"/><Relationship Id="rId15" Type="http://schemas.openxmlformats.org/officeDocument/2006/relationships/hyperlink" Target="https://www.aliexpress.com/i/33020848100.html" TargetMode="External"/><Relationship Id="rId14" Type="http://schemas.openxmlformats.org/officeDocument/2006/relationships/hyperlink" Target="https://www.aliexpress.com/item/33010633621.html" TargetMode="External"/><Relationship Id="rId17" Type="http://schemas.openxmlformats.org/officeDocument/2006/relationships/hyperlink" Target="https://www.aliexpress.com/item/4000215177842.html" TargetMode="External"/><Relationship Id="rId16" Type="http://schemas.openxmlformats.org/officeDocument/2006/relationships/hyperlink" Target="https://www.aliexpress.com/i/33020848100.html" TargetMode="External"/><Relationship Id="rId19" Type="http://schemas.openxmlformats.org/officeDocument/2006/relationships/hyperlink" Target="https://www.aliexpress.com/item/32852024277.html" TargetMode="External"/><Relationship Id="rId18" Type="http://schemas.openxmlformats.org/officeDocument/2006/relationships/hyperlink" Target="https://www.aliexpress.com/item/400021517784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7.13"/>
    <col customWidth="1" min="4" max="4" width="12.5"/>
    <col customWidth="1" min="5" max="5" width="22.88"/>
    <col customWidth="1" min="6" max="6" width="18.25"/>
    <col customWidth="1" min="7" max="7" width="28.13"/>
    <col customWidth="1" min="8" max="8" width="18.13"/>
    <col customWidth="1" min="9" max="9" width="27.13"/>
    <col customWidth="1" min="10" max="26" width="8.63"/>
  </cols>
  <sheetData>
    <row r="1" ht="14.25" customHeight="1"/>
    <row r="2" ht="14.25" customHeight="1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ht="14.25" customHeight="1">
      <c r="B3" s="2" t="s">
        <v>5</v>
      </c>
      <c r="C3" s="2" t="s">
        <v>6</v>
      </c>
      <c r="D3" s="1" t="s">
        <v>7</v>
      </c>
      <c r="E3" s="1">
        <v>630.0</v>
      </c>
      <c r="F3" s="1">
        <f t="shared" ref="F3:F6" si="1">E3</f>
        <v>630</v>
      </c>
      <c r="G3" s="1" t="s">
        <v>8</v>
      </c>
    </row>
    <row r="4" ht="14.25" customHeight="1">
      <c r="D4" s="1" t="s">
        <v>9</v>
      </c>
      <c r="E4" s="1">
        <v>60.0</v>
      </c>
      <c r="F4" s="1">
        <f t="shared" si="1"/>
        <v>60</v>
      </c>
    </row>
    <row r="5" ht="14.25" customHeight="1">
      <c r="D5" s="1" t="s">
        <v>10</v>
      </c>
      <c r="E5" s="1">
        <v>200.0</v>
      </c>
      <c r="F5" s="1">
        <f t="shared" si="1"/>
        <v>200</v>
      </c>
    </row>
    <row r="6" ht="14.25" customHeight="1">
      <c r="D6" s="1" t="s">
        <v>11</v>
      </c>
      <c r="E6" s="1">
        <v>15.0</v>
      </c>
      <c r="F6" s="1">
        <f t="shared" si="1"/>
        <v>15</v>
      </c>
    </row>
    <row r="7" ht="14.25" customHeight="1">
      <c r="C7" s="2" t="s">
        <v>12</v>
      </c>
      <c r="D7" s="1" t="s">
        <v>13</v>
      </c>
      <c r="E7" s="3">
        <v>700.0</v>
      </c>
      <c r="F7" s="3">
        <v>900.0</v>
      </c>
      <c r="G7" s="4" t="s">
        <v>14</v>
      </c>
    </row>
    <row r="8" ht="14.25" customHeight="1">
      <c r="D8" s="1" t="s">
        <v>15</v>
      </c>
      <c r="E8" s="1">
        <v>60.0</v>
      </c>
      <c r="F8" s="1">
        <f t="shared" ref="F8:F9" si="2">E8</f>
        <v>60</v>
      </c>
    </row>
    <row r="9" ht="14.25" customHeight="1">
      <c r="D9" s="4" t="s">
        <v>16</v>
      </c>
      <c r="E9" s="1">
        <v>20.0</v>
      </c>
      <c r="F9" s="1">
        <f t="shared" si="2"/>
        <v>20</v>
      </c>
    </row>
    <row r="10" ht="14.25" customHeight="1">
      <c r="D10" s="1" t="s">
        <v>17</v>
      </c>
      <c r="E10" s="1">
        <v>100.0</v>
      </c>
      <c r="F10" s="1">
        <v>200.0</v>
      </c>
      <c r="G10" s="4" t="s">
        <v>18</v>
      </c>
    </row>
    <row r="11" ht="14.25" customHeight="1">
      <c r="D11" s="1" t="s">
        <v>19</v>
      </c>
      <c r="E11" s="1">
        <v>30.0</v>
      </c>
      <c r="F11" s="1">
        <v>50.0</v>
      </c>
      <c r="G11" s="1" t="s">
        <v>20</v>
      </c>
    </row>
    <row r="12" ht="14.25" customHeight="1">
      <c r="D12" s="1" t="s">
        <v>21</v>
      </c>
      <c r="E12" s="1">
        <v>150.0</v>
      </c>
      <c r="F12" s="3">
        <v>104.0</v>
      </c>
    </row>
    <row r="13" ht="14.25" customHeight="1">
      <c r="D13" s="1" t="s">
        <v>22</v>
      </c>
      <c r="E13" s="1">
        <v>900.0</v>
      </c>
      <c r="F13" s="3">
        <v>432.0</v>
      </c>
      <c r="G13" s="4" t="s">
        <v>23</v>
      </c>
      <c r="I13" s="5" t="s">
        <v>24</v>
      </c>
    </row>
    <row r="14" ht="14.25" customHeight="1">
      <c r="D14" s="1" t="s">
        <v>25</v>
      </c>
      <c r="E14" s="1">
        <v>30.0</v>
      </c>
      <c r="F14" s="1">
        <f>E14</f>
        <v>30</v>
      </c>
    </row>
    <row r="15" ht="14.25" customHeight="1">
      <c r="D15" s="1" t="s">
        <v>26</v>
      </c>
      <c r="E15" s="1">
        <v>125.0</v>
      </c>
      <c r="F15" s="1">
        <v>100.0</v>
      </c>
      <c r="G15" s="4" t="s">
        <v>27</v>
      </c>
      <c r="I15" s="5" t="s">
        <v>28</v>
      </c>
    </row>
    <row r="16" ht="14.25" customHeight="1">
      <c r="D16" s="1" t="s">
        <v>29</v>
      </c>
      <c r="E16" s="1">
        <v>4.0</v>
      </c>
      <c r="F16" s="1">
        <f t="shared" ref="F16:F22" si="3">E16</f>
        <v>4</v>
      </c>
    </row>
    <row r="17" ht="14.25" customHeight="1">
      <c r="D17" s="1" t="s">
        <v>30</v>
      </c>
      <c r="E17" s="1">
        <v>4.0</v>
      </c>
      <c r="F17" s="1">
        <f t="shared" si="3"/>
        <v>4</v>
      </c>
    </row>
    <row r="18" ht="14.25" customHeight="1">
      <c r="D18" s="1" t="s">
        <v>31</v>
      </c>
      <c r="E18" s="1">
        <v>4.0</v>
      </c>
      <c r="F18" s="1">
        <f t="shared" si="3"/>
        <v>4</v>
      </c>
    </row>
    <row r="19" ht="14.25" customHeight="1">
      <c r="D19" s="1" t="s">
        <v>32</v>
      </c>
      <c r="E19" s="1">
        <v>4.0</v>
      </c>
      <c r="F19" s="1">
        <f t="shared" si="3"/>
        <v>4</v>
      </c>
    </row>
    <row r="20" ht="14.25" customHeight="1">
      <c r="D20" s="1" t="s">
        <v>33</v>
      </c>
      <c r="E20" s="1">
        <v>5.0</v>
      </c>
      <c r="F20" s="1">
        <f t="shared" si="3"/>
        <v>5</v>
      </c>
    </row>
    <row r="21" ht="14.25" customHeight="1">
      <c r="D21" s="1" t="s">
        <v>34</v>
      </c>
      <c r="E21" s="1">
        <v>15.0</v>
      </c>
      <c r="F21" s="1">
        <f t="shared" si="3"/>
        <v>15</v>
      </c>
    </row>
    <row r="22" ht="14.25" customHeight="1">
      <c r="D22" s="1" t="s">
        <v>35</v>
      </c>
      <c r="E22" s="1">
        <v>15.0</v>
      </c>
      <c r="F22" s="1">
        <f t="shared" si="3"/>
        <v>15</v>
      </c>
    </row>
    <row r="23" ht="14.25" customHeight="1">
      <c r="D23" s="1" t="s">
        <v>36</v>
      </c>
      <c r="E23" s="1">
        <v>10.0</v>
      </c>
      <c r="F23" s="1">
        <v>25.0</v>
      </c>
      <c r="G23" s="1" t="s">
        <v>37</v>
      </c>
    </row>
    <row r="24" ht="14.25" customHeight="1">
      <c r="C24" s="2" t="s">
        <v>38</v>
      </c>
      <c r="D24" s="1" t="s">
        <v>39</v>
      </c>
      <c r="E24" s="1">
        <v>0.0</v>
      </c>
      <c r="F24" s="1">
        <v>0.0</v>
      </c>
    </row>
    <row r="25" ht="14.25" customHeight="1">
      <c r="D25" s="1" t="s">
        <v>40</v>
      </c>
      <c r="E25" s="1">
        <v>0.0</v>
      </c>
      <c r="F25" s="1">
        <v>0.0</v>
      </c>
    </row>
    <row r="26" ht="14.25" customHeight="1">
      <c r="E26" s="1">
        <f>E3+E4+E5+E6+E7+E8+E9+E10+E11+E12+E13+E14+E15+E16+E17+E18+E19+E20+E21+E22+E24+E25+E23</f>
        <v>3081</v>
      </c>
      <c r="F26" s="1">
        <f>F3+F4+F5+F6+F7+F8+F9+F10+F11+F12+F13+F14+F15+F16+F17+F18+F19+F20+F21+F22+F23</f>
        <v>2877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B25"/>
    <mergeCell ref="C3:C6"/>
    <mergeCell ref="C7:C23"/>
    <mergeCell ref="C24:C25"/>
  </mergeCells>
  <hyperlinks>
    <hyperlink r:id="rId1" ref="I13"/>
    <hyperlink r:id="rId2" ref="I15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35.88"/>
    <col customWidth="1" min="11" max="11" width="19.63"/>
    <col customWidth="1" min="12" max="13" width="16.88"/>
    <col customWidth="1" min="15" max="15" width="117.63"/>
    <col customWidth="1" min="21" max="21" width="22.38"/>
    <col customWidth="1" min="22" max="22" width="75.38"/>
    <col customWidth="1" min="24" max="24" width="142.13"/>
  </cols>
  <sheetData>
    <row r="2">
      <c r="B2" s="6" t="s">
        <v>22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3" t="s">
        <v>50</v>
      </c>
      <c r="M2" s="3" t="s">
        <v>13</v>
      </c>
      <c r="O2" s="6" t="s">
        <v>13</v>
      </c>
      <c r="P2" s="6" t="s">
        <v>51</v>
      </c>
      <c r="Q2" s="6" t="s">
        <v>52</v>
      </c>
      <c r="R2" s="6" t="s">
        <v>53</v>
      </c>
      <c r="S2" s="6"/>
    </row>
    <row r="3">
      <c r="B3" s="7" t="s">
        <v>54</v>
      </c>
      <c r="C3" s="8">
        <v>30.0</v>
      </c>
      <c r="D3" s="8" t="s">
        <v>55</v>
      </c>
      <c r="E3" s="8" t="s">
        <v>56</v>
      </c>
      <c r="F3" s="9">
        <v>25.8</v>
      </c>
      <c r="G3" s="9">
        <v>1400.0</v>
      </c>
      <c r="H3" s="8">
        <v>85.0</v>
      </c>
      <c r="I3" s="8" t="s">
        <v>57</v>
      </c>
      <c r="J3" s="8" t="s">
        <v>58</v>
      </c>
      <c r="K3" s="8">
        <v>9.7</v>
      </c>
      <c r="L3" s="1">
        <f>(K3*4+3)*1.3</f>
        <v>54.34</v>
      </c>
      <c r="M3" s="1">
        <f>(L3*1.3*0.25)/0.75*1000</f>
        <v>23547.33333</v>
      </c>
      <c r="O3" s="10" t="s">
        <v>59</v>
      </c>
      <c r="P3" s="6" t="s">
        <v>56</v>
      </c>
      <c r="Q3" s="6" t="s">
        <v>60</v>
      </c>
      <c r="R3" s="6">
        <v>2450.0</v>
      </c>
      <c r="S3" s="6" t="s">
        <v>61</v>
      </c>
    </row>
    <row r="4">
      <c r="B4" s="11"/>
      <c r="C4" s="11"/>
      <c r="D4" s="12"/>
      <c r="E4" s="12"/>
      <c r="F4" s="9">
        <v>28.6</v>
      </c>
      <c r="G4" s="9">
        <v>1536.0</v>
      </c>
      <c r="H4" s="11"/>
      <c r="I4" s="11"/>
      <c r="J4" s="11"/>
      <c r="K4" s="12"/>
      <c r="O4" s="13" t="s">
        <v>62</v>
      </c>
      <c r="P4" s="6" t="s">
        <v>56</v>
      </c>
      <c r="Q4" s="6" t="s">
        <v>63</v>
      </c>
      <c r="R4" s="6">
        <v>1590.0</v>
      </c>
      <c r="S4" s="6" t="s">
        <v>64</v>
      </c>
      <c r="U4" s="6" t="s">
        <v>13</v>
      </c>
      <c r="V4" s="6" t="s">
        <v>65</v>
      </c>
      <c r="W4" s="6" t="s">
        <v>42</v>
      </c>
      <c r="X4" s="6" t="s">
        <v>48</v>
      </c>
    </row>
    <row r="5">
      <c r="B5" s="11"/>
      <c r="C5" s="11"/>
      <c r="D5" s="8" t="s">
        <v>66</v>
      </c>
      <c r="E5" s="8" t="s">
        <v>56</v>
      </c>
      <c r="F5" s="9">
        <v>21.2</v>
      </c>
      <c r="G5" s="9">
        <v>1400.0</v>
      </c>
      <c r="H5" s="11"/>
      <c r="I5" s="11"/>
      <c r="J5" s="11"/>
      <c r="K5" s="8">
        <v>8.65</v>
      </c>
      <c r="L5" s="1">
        <f>K5*4+3</f>
        <v>37.6</v>
      </c>
      <c r="M5" s="1">
        <f>(L5*1.3*0.25)/0.75*1000</f>
        <v>16293.33333</v>
      </c>
      <c r="O5" s="14" t="s">
        <v>67</v>
      </c>
      <c r="P5" s="6" t="s">
        <v>56</v>
      </c>
      <c r="Q5" s="6" t="s">
        <v>68</v>
      </c>
      <c r="R5" s="6">
        <v>1560.0</v>
      </c>
      <c r="S5" s="6" t="s">
        <v>69</v>
      </c>
      <c r="U5" s="15" t="s">
        <v>70</v>
      </c>
      <c r="V5" s="13" t="s">
        <v>71</v>
      </c>
      <c r="W5" s="16" t="s">
        <v>72</v>
      </c>
      <c r="X5" s="17" t="s">
        <v>73</v>
      </c>
    </row>
    <row r="6">
      <c r="B6" s="11"/>
      <c r="C6" s="11"/>
      <c r="D6" s="11"/>
      <c r="E6" s="11"/>
      <c r="F6" s="9">
        <v>23.2</v>
      </c>
      <c r="G6" s="9">
        <v>1500.0</v>
      </c>
      <c r="H6" s="11"/>
      <c r="I6" s="11"/>
      <c r="J6" s="11"/>
      <c r="K6" s="11"/>
      <c r="O6" s="14" t="s">
        <v>74</v>
      </c>
      <c r="P6" s="6" t="s">
        <v>56</v>
      </c>
      <c r="Q6" s="6" t="s">
        <v>63</v>
      </c>
      <c r="R6" s="6">
        <v>1270.0</v>
      </c>
      <c r="S6" s="6" t="s">
        <v>69</v>
      </c>
      <c r="U6" s="12"/>
      <c r="V6" s="18" t="s">
        <v>75</v>
      </c>
      <c r="W6" s="11"/>
      <c r="X6" s="12"/>
    </row>
    <row r="7">
      <c r="B7" s="11"/>
      <c r="C7" s="11"/>
      <c r="D7" s="11"/>
      <c r="E7" s="11"/>
      <c r="F7" s="9">
        <v>26.1</v>
      </c>
      <c r="G7" s="9">
        <v>1600.0</v>
      </c>
      <c r="H7" s="11"/>
      <c r="I7" s="11"/>
      <c r="J7" s="11"/>
      <c r="K7" s="11"/>
      <c r="O7" s="19"/>
      <c r="P7" s="3"/>
      <c r="Q7" s="3"/>
      <c r="R7" s="3"/>
      <c r="S7" s="3"/>
      <c r="U7" s="16" t="s">
        <v>76</v>
      </c>
      <c r="V7" s="18" t="s">
        <v>77</v>
      </c>
      <c r="W7" s="11"/>
      <c r="X7" s="17" t="s">
        <v>78</v>
      </c>
    </row>
    <row r="8">
      <c r="B8" s="11"/>
      <c r="C8" s="11"/>
      <c r="D8" s="11"/>
      <c r="E8" s="11"/>
      <c r="F8" s="9">
        <v>29.3</v>
      </c>
      <c r="G8" s="9">
        <v>1700.0</v>
      </c>
      <c r="H8" s="11"/>
      <c r="I8" s="11"/>
      <c r="J8" s="11"/>
      <c r="K8" s="11"/>
      <c r="U8" s="12"/>
      <c r="V8" s="13" t="s">
        <v>79</v>
      </c>
      <c r="W8" s="12"/>
      <c r="X8" s="12"/>
    </row>
    <row r="9">
      <c r="B9" s="11"/>
      <c r="C9" s="11"/>
      <c r="D9" s="11"/>
      <c r="E9" s="11"/>
      <c r="F9" s="9">
        <v>35.0</v>
      </c>
      <c r="G9" s="9">
        <v>1900.0</v>
      </c>
      <c r="H9" s="11"/>
      <c r="I9" s="11"/>
      <c r="J9" s="11"/>
      <c r="K9" s="11"/>
    </row>
    <row r="10">
      <c r="B10" s="11"/>
      <c r="C10" s="11"/>
      <c r="D10" s="12"/>
      <c r="E10" s="12"/>
      <c r="F10" s="9">
        <v>38.4</v>
      </c>
      <c r="G10" s="9">
        <v>2130.0</v>
      </c>
      <c r="H10" s="11"/>
      <c r="I10" s="11"/>
      <c r="J10" s="11"/>
      <c r="K10" s="12"/>
    </row>
    <row r="11">
      <c r="B11" s="11"/>
      <c r="C11" s="11"/>
      <c r="D11" s="8" t="s">
        <v>80</v>
      </c>
      <c r="E11" s="8" t="s">
        <v>56</v>
      </c>
      <c r="F11" s="9">
        <v>21.4</v>
      </c>
      <c r="G11" s="9">
        <v>1400.0</v>
      </c>
      <c r="H11" s="11"/>
      <c r="I11" s="11"/>
      <c r="J11" s="11"/>
      <c r="K11" s="8">
        <v>8.96</v>
      </c>
      <c r="L11" s="1">
        <f>K11*4+3</f>
        <v>38.84</v>
      </c>
      <c r="M11" s="1">
        <f>(L11*1.3*0.25)/0.75*1000</f>
        <v>16830.66667</v>
      </c>
    </row>
    <row r="12">
      <c r="B12" s="11"/>
      <c r="C12" s="11"/>
      <c r="D12" s="12"/>
      <c r="E12" s="12"/>
      <c r="F12" s="9">
        <v>23.6</v>
      </c>
      <c r="G12" s="9">
        <v>1506.0</v>
      </c>
      <c r="H12" s="11"/>
      <c r="I12" s="11"/>
      <c r="J12" s="11"/>
      <c r="K12" s="12"/>
    </row>
    <row r="13">
      <c r="B13" s="12"/>
      <c r="C13" s="12"/>
      <c r="D13" s="9" t="s">
        <v>81</v>
      </c>
      <c r="E13" s="9" t="s">
        <v>56</v>
      </c>
      <c r="F13" s="9">
        <v>22.1</v>
      </c>
      <c r="G13" s="9">
        <v>1450.0</v>
      </c>
      <c r="H13" s="12"/>
      <c r="I13" s="12"/>
      <c r="J13" s="12"/>
      <c r="K13" s="9">
        <v>8.9</v>
      </c>
      <c r="L13" s="1">
        <f t="shared" ref="L13:L14" si="1">K13*4+3</f>
        <v>38.6</v>
      </c>
      <c r="M13" s="1">
        <f t="shared" ref="M13:M14" si="2">(L13*1.3*0.25)/0.75*1000</f>
        <v>16726.66667</v>
      </c>
    </row>
    <row r="14">
      <c r="B14" s="20" t="s">
        <v>82</v>
      </c>
      <c r="C14" s="21">
        <v>40.0</v>
      </c>
      <c r="D14" s="21" t="s">
        <v>83</v>
      </c>
      <c r="E14" s="21" t="s">
        <v>56</v>
      </c>
      <c r="F14" s="22">
        <v>19.1</v>
      </c>
      <c r="G14" s="22">
        <v>1500.0</v>
      </c>
      <c r="H14" s="21">
        <v>108.0</v>
      </c>
      <c r="I14" s="21" t="s">
        <v>57</v>
      </c>
      <c r="J14" s="21" t="s">
        <v>84</v>
      </c>
      <c r="K14" s="21">
        <v>7.0</v>
      </c>
      <c r="L14" s="1">
        <f t="shared" si="1"/>
        <v>31</v>
      </c>
      <c r="M14" s="1">
        <f t="shared" si="2"/>
        <v>13433.33333</v>
      </c>
    </row>
    <row r="15">
      <c r="B15" s="11"/>
      <c r="C15" s="11"/>
      <c r="D15" s="11"/>
      <c r="E15" s="11"/>
      <c r="F15" s="22">
        <v>25.3</v>
      </c>
      <c r="G15" s="22">
        <v>1750.0</v>
      </c>
      <c r="H15" s="11"/>
      <c r="I15" s="11"/>
      <c r="J15" s="11"/>
      <c r="K15" s="11"/>
    </row>
    <row r="16">
      <c r="B16" s="11"/>
      <c r="C16" s="11"/>
      <c r="D16" s="11"/>
      <c r="E16" s="11"/>
      <c r="F16" s="22">
        <v>30.5</v>
      </c>
      <c r="G16" s="22">
        <v>2000.0</v>
      </c>
      <c r="H16" s="11"/>
      <c r="I16" s="11"/>
      <c r="J16" s="11"/>
      <c r="K16" s="11"/>
    </row>
    <row r="17">
      <c r="B17" s="11"/>
      <c r="C17" s="11"/>
      <c r="D17" s="12"/>
      <c r="E17" s="12"/>
      <c r="F17" s="22">
        <v>37.2</v>
      </c>
      <c r="G17" s="22">
        <v>2299.0</v>
      </c>
      <c r="H17" s="11"/>
      <c r="I17" s="11"/>
      <c r="J17" s="11"/>
      <c r="K17" s="12"/>
    </row>
    <row r="18">
      <c r="B18" s="11"/>
      <c r="C18" s="11"/>
      <c r="D18" s="21" t="s">
        <v>85</v>
      </c>
      <c r="E18" s="21" t="s">
        <v>56</v>
      </c>
      <c r="F18" s="22">
        <v>22.3</v>
      </c>
      <c r="G18" s="22">
        <v>1500.0</v>
      </c>
      <c r="H18" s="11"/>
      <c r="I18" s="11"/>
      <c r="J18" s="11"/>
      <c r="K18" s="21">
        <v>8.3</v>
      </c>
      <c r="L18" s="1">
        <f>K18*4+3</f>
        <v>36.2</v>
      </c>
      <c r="M18" s="1">
        <f>(L18*1.3*0.25)/0.75*1000</f>
        <v>15686.66667</v>
      </c>
    </row>
    <row r="19">
      <c r="B19" s="11"/>
      <c r="C19" s="11"/>
      <c r="D19" s="11"/>
      <c r="E19" s="11"/>
      <c r="F19" s="22">
        <v>28.8</v>
      </c>
      <c r="G19" s="22">
        <v>1750.0</v>
      </c>
      <c r="H19" s="11"/>
      <c r="I19" s="11"/>
      <c r="J19" s="11"/>
      <c r="K19" s="11"/>
    </row>
    <row r="20">
      <c r="B20" s="11"/>
      <c r="C20" s="11"/>
      <c r="D20" s="11"/>
      <c r="E20" s="11"/>
      <c r="F20" s="22">
        <v>34.5</v>
      </c>
      <c r="G20" s="22">
        <v>2000.0</v>
      </c>
      <c r="H20" s="11"/>
      <c r="I20" s="11"/>
      <c r="J20" s="11"/>
      <c r="K20" s="11"/>
    </row>
    <row r="21">
      <c r="B21" s="12"/>
      <c r="C21" s="12"/>
      <c r="D21" s="12"/>
      <c r="E21" s="12"/>
      <c r="F21" s="22">
        <v>45.5</v>
      </c>
      <c r="G21" s="22">
        <v>2320.0</v>
      </c>
      <c r="H21" s="12"/>
      <c r="I21" s="12"/>
      <c r="J21" s="12"/>
      <c r="K21" s="12"/>
    </row>
    <row r="22">
      <c r="B22" s="23" t="s">
        <v>77</v>
      </c>
      <c r="C22" s="24">
        <v>30.0</v>
      </c>
      <c r="D22" s="24" t="s">
        <v>86</v>
      </c>
      <c r="E22" s="24" t="s">
        <v>56</v>
      </c>
      <c r="F22" s="25">
        <v>22.4</v>
      </c>
      <c r="G22" s="25">
        <v>1500.0</v>
      </c>
      <c r="H22" s="24">
        <v>108.0</v>
      </c>
      <c r="I22" s="24" t="s">
        <v>57</v>
      </c>
      <c r="J22" s="24" t="s">
        <v>58</v>
      </c>
      <c r="K22" s="24">
        <v>8.1</v>
      </c>
      <c r="L22" s="1">
        <f>K22*4+3</f>
        <v>35.4</v>
      </c>
      <c r="M22" s="1">
        <f>(L22*1.3*0.25)/0.75*1000</f>
        <v>15340</v>
      </c>
    </row>
    <row r="23">
      <c r="B23" s="11"/>
      <c r="C23" s="11"/>
      <c r="D23" s="11"/>
      <c r="E23" s="11"/>
      <c r="F23" s="25">
        <v>28.2</v>
      </c>
      <c r="G23" s="25">
        <v>1750.0</v>
      </c>
      <c r="H23" s="11"/>
      <c r="I23" s="11"/>
      <c r="J23" s="11"/>
      <c r="K23" s="11"/>
    </row>
    <row r="24">
      <c r="B24" s="11"/>
      <c r="C24" s="11"/>
      <c r="D24" s="12"/>
      <c r="E24" s="12"/>
      <c r="F24" s="25">
        <v>34.4</v>
      </c>
      <c r="G24" s="25">
        <v>2020.0</v>
      </c>
      <c r="H24" s="11"/>
      <c r="I24" s="11"/>
      <c r="J24" s="11"/>
      <c r="K24" s="12"/>
    </row>
    <row r="25">
      <c r="B25" s="11"/>
      <c r="C25" s="11"/>
      <c r="D25" s="24" t="s">
        <v>83</v>
      </c>
      <c r="E25" s="24" t="s">
        <v>56</v>
      </c>
      <c r="F25" s="25">
        <v>20.6</v>
      </c>
      <c r="G25" s="25">
        <v>1500.0</v>
      </c>
      <c r="H25" s="11"/>
      <c r="I25" s="11"/>
      <c r="J25" s="11"/>
      <c r="K25" s="24">
        <v>7.9</v>
      </c>
      <c r="L25" s="1">
        <f>K25*4+3</f>
        <v>34.6</v>
      </c>
      <c r="M25" s="1">
        <f>(L25*1.3*0.25)/0.75*1000</f>
        <v>14993.33333</v>
      </c>
    </row>
    <row r="26">
      <c r="B26" s="11"/>
      <c r="C26" s="11"/>
      <c r="D26" s="11"/>
      <c r="E26" s="11"/>
      <c r="F26" s="25">
        <v>25.7</v>
      </c>
      <c r="G26" s="25">
        <v>1750.0</v>
      </c>
      <c r="H26" s="11"/>
      <c r="I26" s="11"/>
      <c r="J26" s="11"/>
      <c r="K26" s="11"/>
    </row>
    <row r="27">
      <c r="B27" s="11"/>
      <c r="C27" s="11"/>
      <c r="D27" s="12"/>
      <c r="E27" s="12"/>
      <c r="F27" s="25">
        <v>29.3</v>
      </c>
      <c r="G27" s="25">
        <v>1950.0</v>
      </c>
      <c r="H27" s="11"/>
      <c r="I27" s="11"/>
      <c r="J27" s="11"/>
      <c r="K27" s="12"/>
    </row>
    <row r="28">
      <c r="B28" s="11"/>
      <c r="C28" s="11"/>
      <c r="D28" s="24" t="s">
        <v>85</v>
      </c>
      <c r="E28" s="24" t="s">
        <v>56</v>
      </c>
      <c r="F28" s="25">
        <v>23.7</v>
      </c>
      <c r="G28" s="25">
        <v>1500.0</v>
      </c>
      <c r="H28" s="11"/>
      <c r="I28" s="11"/>
      <c r="J28" s="11"/>
      <c r="K28" s="24">
        <v>8.7</v>
      </c>
      <c r="L28" s="1">
        <f>K28*4+3</f>
        <v>37.8</v>
      </c>
      <c r="M28" s="1">
        <f>(L28*1.3*0.25)/0.75*1000</f>
        <v>16380</v>
      </c>
    </row>
    <row r="29">
      <c r="B29" s="11"/>
      <c r="C29" s="11"/>
      <c r="D29" s="11"/>
      <c r="E29" s="11"/>
      <c r="F29" s="25">
        <v>30.6</v>
      </c>
      <c r="G29" s="25">
        <v>1750.0</v>
      </c>
      <c r="H29" s="11"/>
      <c r="I29" s="11"/>
      <c r="J29" s="11"/>
      <c r="K29" s="11"/>
    </row>
    <row r="30">
      <c r="B30" s="12"/>
      <c r="C30" s="12"/>
      <c r="D30" s="12"/>
      <c r="E30" s="12"/>
      <c r="F30" s="25">
        <v>37.5</v>
      </c>
      <c r="G30" s="25">
        <v>2020.0</v>
      </c>
      <c r="H30" s="12"/>
      <c r="I30" s="12"/>
      <c r="J30" s="12"/>
      <c r="K30" s="12"/>
    </row>
    <row r="31">
      <c r="B31" s="26" t="s">
        <v>79</v>
      </c>
      <c r="C31" s="24">
        <v>35.0</v>
      </c>
      <c r="D31" s="24" t="s">
        <v>87</v>
      </c>
      <c r="E31" s="24" t="s">
        <v>56</v>
      </c>
      <c r="F31" s="25">
        <v>17.9</v>
      </c>
      <c r="G31" s="25">
        <v>1500.0</v>
      </c>
      <c r="H31" s="24">
        <v>138.0</v>
      </c>
      <c r="I31" s="24" t="s">
        <v>88</v>
      </c>
      <c r="J31" s="24" t="s">
        <v>89</v>
      </c>
      <c r="K31" s="27"/>
    </row>
    <row r="32">
      <c r="B32" s="11"/>
      <c r="C32" s="11"/>
      <c r="D32" s="11"/>
      <c r="E32" s="11"/>
      <c r="F32" s="25">
        <v>22.2</v>
      </c>
      <c r="G32" s="25">
        <v>1750.0</v>
      </c>
      <c r="H32" s="11"/>
      <c r="I32" s="11"/>
      <c r="J32" s="11"/>
      <c r="K32" s="11"/>
    </row>
    <row r="33">
      <c r="B33" s="11"/>
      <c r="C33" s="11"/>
      <c r="D33" s="11"/>
      <c r="E33" s="11"/>
      <c r="F33" s="25">
        <v>27.2</v>
      </c>
      <c r="G33" s="25">
        <v>2000.0</v>
      </c>
      <c r="H33" s="11"/>
      <c r="I33" s="11"/>
      <c r="J33" s="11"/>
      <c r="K33" s="11"/>
    </row>
    <row r="34">
      <c r="B34" s="11"/>
      <c r="C34" s="11"/>
      <c r="D34" s="11"/>
      <c r="E34" s="11"/>
      <c r="F34" s="25">
        <v>33.1</v>
      </c>
      <c r="G34" s="25">
        <v>2250.0</v>
      </c>
      <c r="H34" s="11"/>
      <c r="I34" s="11"/>
      <c r="J34" s="11"/>
      <c r="K34" s="11"/>
    </row>
    <row r="35">
      <c r="B35" s="11"/>
      <c r="C35" s="11"/>
      <c r="D35" s="11"/>
      <c r="E35" s="11"/>
      <c r="F35" s="25">
        <v>37.5</v>
      </c>
      <c r="G35" s="25">
        <v>2500.0</v>
      </c>
      <c r="H35" s="11"/>
      <c r="I35" s="11"/>
      <c r="J35" s="11"/>
      <c r="K35" s="11"/>
    </row>
    <row r="36">
      <c r="B36" s="11"/>
      <c r="C36" s="11"/>
      <c r="D36" s="12"/>
      <c r="E36" s="12"/>
      <c r="F36" s="25">
        <v>40.1</v>
      </c>
      <c r="G36" s="25">
        <v>2670.0</v>
      </c>
      <c r="H36" s="11"/>
      <c r="I36" s="11"/>
      <c r="J36" s="11"/>
      <c r="K36" s="11"/>
    </row>
    <row r="37">
      <c r="B37" s="11"/>
      <c r="C37" s="11"/>
      <c r="D37" s="24" t="s">
        <v>90</v>
      </c>
      <c r="E37" s="24" t="s">
        <v>56</v>
      </c>
      <c r="F37" s="25">
        <v>18.7</v>
      </c>
      <c r="G37" s="25">
        <v>1500.0</v>
      </c>
      <c r="H37" s="11"/>
      <c r="I37" s="11"/>
      <c r="J37" s="11"/>
      <c r="K37" s="11"/>
    </row>
    <row r="38">
      <c r="B38" s="11"/>
      <c r="C38" s="11"/>
      <c r="D38" s="11"/>
      <c r="E38" s="11"/>
      <c r="F38" s="25">
        <v>23.2</v>
      </c>
      <c r="G38" s="25">
        <v>1750.0</v>
      </c>
      <c r="H38" s="11"/>
      <c r="I38" s="11"/>
      <c r="J38" s="11"/>
      <c r="K38" s="11"/>
    </row>
    <row r="39">
      <c r="B39" s="11"/>
      <c r="C39" s="11"/>
      <c r="D39" s="11"/>
      <c r="E39" s="11"/>
      <c r="F39" s="25">
        <v>28.1</v>
      </c>
      <c r="G39" s="25">
        <v>2000.0</v>
      </c>
      <c r="H39" s="11"/>
      <c r="I39" s="11"/>
      <c r="J39" s="11"/>
      <c r="K39" s="11"/>
    </row>
    <row r="40">
      <c r="B40" s="11"/>
      <c r="C40" s="11"/>
      <c r="D40" s="12"/>
      <c r="E40" s="12"/>
      <c r="F40" s="25">
        <v>32.7</v>
      </c>
      <c r="G40" s="25">
        <v>2240.0</v>
      </c>
      <c r="H40" s="11"/>
      <c r="I40" s="11"/>
      <c r="J40" s="11"/>
      <c r="K40" s="11"/>
    </row>
    <row r="41">
      <c r="B41" s="11"/>
      <c r="C41" s="11"/>
      <c r="D41" s="24" t="s">
        <v>91</v>
      </c>
      <c r="E41" s="24" t="s">
        <v>56</v>
      </c>
      <c r="F41" s="25">
        <v>19.0</v>
      </c>
      <c r="G41" s="25">
        <v>1500.0</v>
      </c>
      <c r="H41" s="11"/>
      <c r="I41" s="11"/>
      <c r="J41" s="11"/>
      <c r="K41" s="11"/>
    </row>
    <row r="42">
      <c r="B42" s="11"/>
      <c r="C42" s="11"/>
      <c r="D42" s="11"/>
      <c r="E42" s="11"/>
      <c r="F42" s="25">
        <v>23.7</v>
      </c>
      <c r="G42" s="25">
        <v>1750.0</v>
      </c>
      <c r="H42" s="11"/>
      <c r="I42" s="11"/>
      <c r="J42" s="11"/>
      <c r="K42" s="11"/>
    </row>
    <row r="43">
      <c r="B43" s="11"/>
      <c r="C43" s="11"/>
      <c r="D43" s="11"/>
      <c r="E43" s="11"/>
      <c r="F43" s="25">
        <v>28.9</v>
      </c>
      <c r="G43" s="25">
        <v>2000.0</v>
      </c>
      <c r="H43" s="11"/>
      <c r="I43" s="11"/>
      <c r="J43" s="11"/>
      <c r="K43" s="11"/>
    </row>
    <row r="44">
      <c r="B44" s="11"/>
      <c r="C44" s="11"/>
      <c r="D44" s="11"/>
      <c r="E44" s="11"/>
      <c r="F44" s="25">
        <v>35.5</v>
      </c>
      <c r="G44" s="25">
        <v>2250.0</v>
      </c>
      <c r="H44" s="11"/>
      <c r="I44" s="11"/>
      <c r="J44" s="11"/>
      <c r="K44" s="11"/>
    </row>
    <row r="45">
      <c r="B45" s="11"/>
      <c r="C45" s="11"/>
      <c r="D45" s="11"/>
      <c r="E45" s="11"/>
      <c r="F45" s="25">
        <v>40.2</v>
      </c>
      <c r="G45" s="25">
        <v>2500.0</v>
      </c>
      <c r="H45" s="11"/>
      <c r="I45" s="11"/>
      <c r="J45" s="11"/>
      <c r="K45" s="11"/>
    </row>
    <row r="46">
      <c r="B46" s="12"/>
      <c r="C46" s="12"/>
      <c r="D46" s="12"/>
      <c r="E46" s="12"/>
      <c r="F46" s="25">
        <v>45.2</v>
      </c>
      <c r="G46" s="25">
        <v>2790.0</v>
      </c>
      <c r="H46" s="12"/>
      <c r="I46" s="12"/>
      <c r="J46" s="12"/>
      <c r="K46" s="12"/>
    </row>
    <row r="47">
      <c r="B47" s="7" t="s">
        <v>92</v>
      </c>
      <c r="C47" s="8">
        <v>25.0</v>
      </c>
      <c r="D47" s="8" t="s">
        <v>93</v>
      </c>
      <c r="E47" s="8" t="s">
        <v>56</v>
      </c>
      <c r="F47" s="9">
        <v>23.0</v>
      </c>
      <c r="G47" s="9">
        <v>1420.0</v>
      </c>
      <c r="H47" s="8">
        <v>81.0</v>
      </c>
      <c r="I47" s="8" t="s">
        <v>57</v>
      </c>
      <c r="J47" s="8" t="s">
        <v>94</v>
      </c>
      <c r="K47" s="8">
        <v>7.17</v>
      </c>
      <c r="L47" s="1">
        <f>K47*4+3</f>
        <v>31.68</v>
      </c>
      <c r="M47" s="1">
        <f>(L47*1.3*0.25)/0.75*1000</f>
        <v>13728</v>
      </c>
    </row>
    <row r="48">
      <c r="B48" s="11"/>
      <c r="C48" s="11"/>
      <c r="D48" s="12"/>
      <c r="E48" s="12"/>
      <c r="F48" s="9">
        <v>27.0</v>
      </c>
      <c r="G48" s="9">
        <v>1530.0</v>
      </c>
      <c r="H48" s="11"/>
      <c r="I48" s="11"/>
      <c r="J48" s="11"/>
      <c r="K48" s="12"/>
    </row>
    <row r="49">
      <c r="B49" s="11"/>
      <c r="C49" s="11"/>
      <c r="D49" s="8" t="s">
        <v>95</v>
      </c>
      <c r="E49" s="8" t="s">
        <v>56</v>
      </c>
      <c r="F49" s="9">
        <v>23.0</v>
      </c>
      <c r="G49" s="9">
        <v>1410.0</v>
      </c>
      <c r="H49" s="11"/>
      <c r="I49" s="11"/>
      <c r="J49" s="11"/>
      <c r="K49" s="8">
        <v>7.0</v>
      </c>
      <c r="L49" s="1">
        <f>K49*4+3</f>
        <v>31</v>
      </c>
      <c r="M49" s="1">
        <f>(L49*1.3*0.25)/0.75*1000</f>
        <v>13433.33333</v>
      </c>
    </row>
    <row r="50">
      <c r="B50" s="11"/>
      <c r="C50" s="11"/>
      <c r="D50" s="11"/>
      <c r="E50" s="11"/>
      <c r="F50" s="9">
        <v>26.0</v>
      </c>
      <c r="G50" s="9">
        <v>1490.0</v>
      </c>
      <c r="H50" s="11"/>
      <c r="I50" s="11"/>
      <c r="J50" s="11"/>
      <c r="K50" s="11"/>
    </row>
    <row r="51">
      <c r="B51" s="12"/>
      <c r="C51" s="12"/>
      <c r="D51" s="12"/>
      <c r="E51" s="12"/>
      <c r="F51" s="9">
        <v>30.0</v>
      </c>
      <c r="G51" s="9">
        <v>1580.0</v>
      </c>
      <c r="H51" s="12"/>
      <c r="I51" s="12"/>
      <c r="J51" s="12"/>
      <c r="K51" s="12"/>
    </row>
    <row r="52">
      <c r="B52" s="20" t="s">
        <v>75</v>
      </c>
      <c r="C52" s="21">
        <v>35.0</v>
      </c>
      <c r="D52" s="22" t="s">
        <v>96</v>
      </c>
      <c r="E52" s="21" t="s">
        <v>56</v>
      </c>
      <c r="F52" s="22">
        <v>20.5</v>
      </c>
      <c r="G52" s="22" t="s">
        <v>97</v>
      </c>
      <c r="H52" s="21">
        <v>120.0</v>
      </c>
      <c r="I52" s="21" t="s">
        <v>88</v>
      </c>
      <c r="J52" s="21" t="s">
        <v>98</v>
      </c>
      <c r="K52" s="22" t="s">
        <v>99</v>
      </c>
      <c r="L52" s="1">
        <f>7*4+3</f>
        <v>31</v>
      </c>
      <c r="M52" s="1">
        <f t="shared" ref="M52:M53" si="3">(L52*1.3*0.25)/0.75*1000</f>
        <v>13433.33333</v>
      </c>
    </row>
    <row r="53">
      <c r="B53" s="11"/>
      <c r="C53" s="11"/>
      <c r="D53" s="21" t="s">
        <v>100</v>
      </c>
      <c r="E53" s="11"/>
      <c r="F53" s="22">
        <v>18.6</v>
      </c>
      <c r="G53" s="22" t="s">
        <v>101</v>
      </c>
      <c r="H53" s="11"/>
      <c r="I53" s="11"/>
      <c r="J53" s="11"/>
      <c r="K53" s="21">
        <v>6.4</v>
      </c>
      <c r="L53" s="1">
        <f>K53*4+3</f>
        <v>28.6</v>
      </c>
      <c r="M53" s="1">
        <f t="shared" si="3"/>
        <v>12393.33333</v>
      </c>
    </row>
    <row r="54">
      <c r="B54" s="11"/>
      <c r="C54" s="11"/>
      <c r="D54" s="12"/>
      <c r="E54" s="11"/>
      <c r="F54" s="22">
        <v>25.3</v>
      </c>
      <c r="G54" s="22" t="s">
        <v>102</v>
      </c>
      <c r="H54" s="11"/>
      <c r="I54" s="11"/>
      <c r="J54" s="11"/>
      <c r="K54" s="12"/>
    </row>
    <row r="55">
      <c r="B55" s="11"/>
      <c r="C55" s="11"/>
      <c r="D55" s="21" t="s">
        <v>103</v>
      </c>
      <c r="E55" s="11"/>
      <c r="F55" s="22">
        <v>13.5</v>
      </c>
      <c r="G55" s="22" t="s">
        <v>104</v>
      </c>
      <c r="H55" s="11"/>
      <c r="I55" s="11"/>
      <c r="J55" s="11"/>
      <c r="K55" s="21" t="s">
        <v>105</v>
      </c>
      <c r="L55" s="1">
        <f>5.7*4+3</f>
        <v>25.8</v>
      </c>
      <c r="M55" s="1">
        <f>(L55*1.3*0.25)/0.75*1000</f>
        <v>11180</v>
      </c>
    </row>
    <row r="56">
      <c r="B56" s="11"/>
      <c r="C56" s="11"/>
      <c r="D56" s="12"/>
      <c r="E56" s="11"/>
      <c r="F56" s="22">
        <v>17.7</v>
      </c>
      <c r="G56" s="22" t="s">
        <v>106</v>
      </c>
      <c r="H56" s="11"/>
      <c r="I56" s="11"/>
      <c r="J56" s="11"/>
      <c r="K56" s="12"/>
    </row>
    <row r="57">
      <c r="B57" s="11"/>
      <c r="C57" s="11"/>
      <c r="D57" s="21" t="s">
        <v>107</v>
      </c>
      <c r="E57" s="11"/>
      <c r="F57" s="22">
        <v>14.0</v>
      </c>
      <c r="G57" s="22" t="s">
        <v>108</v>
      </c>
      <c r="H57" s="11"/>
      <c r="I57" s="11"/>
      <c r="J57" s="11"/>
      <c r="K57" s="21">
        <v>5.1</v>
      </c>
      <c r="L57" s="1">
        <f>K57*4+3</f>
        <v>23.4</v>
      </c>
      <c r="M57" s="1">
        <f>(L57*1.3*0.25)/0.75*1000</f>
        <v>10140</v>
      </c>
    </row>
    <row r="58">
      <c r="B58" s="11"/>
      <c r="C58" s="11"/>
      <c r="D58" s="11"/>
      <c r="E58" s="11"/>
      <c r="F58" s="22">
        <v>18.5</v>
      </c>
      <c r="G58" s="22" t="s">
        <v>109</v>
      </c>
      <c r="H58" s="11"/>
      <c r="I58" s="11"/>
      <c r="J58" s="11"/>
      <c r="K58" s="11"/>
    </row>
    <row r="59">
      <c r="B59" s="11"/>
      <c r="C59" s="11"/>
      <c r="D59" s="12"/>
      <c r="E59" s="12"/>
      <c r="F59" s="22">
        <v>23.4</v>
      </c>
      <c r="G59" s="22" t="s">
        <v>110</v>
      </c>
      <c r="H59" s="11"/>
      <c r="I59" s="11"/>
      <c r="J59" s="11"/>
      <c r="K59" s="12"/>
    </row>
    <row r="60">
      <c r="B60" s="11"/>
      <c r="C60" s="11"/>
      <c r="D60" s="21" t="s">
        <v>96</v>
      </c>
      <c r="E60" s="21" t="s">
        <v>111</v>
      </c>
      <c r="F60" s="22">
        <v>15.9</v>
      </c>
      <c r="G60" s="22" t="s">
        <v>112</v>
      </c>
      <c r="H60" s="11"/>
      <c r="I60" s="11"/>
      <c r="J60" s="11"/>
      <c r="K60" s="21" t="s">
        <v>113</v>
      </c>
      <c r="L60" s="1">
        <f>6.7*4+3</f>
        <v>29.8</v>
      </c>
      <c r="M60" s="1">
        <f>(L60*1.3*0.25)/0.75*1000</f>
        <v>12913.33333</v>
      </c>
    </row>
    <row r="61">
      <c r="B61" s="11"/>
      <c r="C61" s="11"/>
      <c r="D61" s="11"/>
      <c r="E61" s="11"/>
      <c r="F61" s="22">
        <v>21.4</v>
      </c>
      <c r="G61" s="22" t="s">
        <v>114</v>
      </c>
      <c r="H61" s="11"/>
      <c r="I61" s="11"/>
      <c r="J61" s="11"/>
      <c r="K61" s="11"/>
    </row>
    <row r="62">
      <c r="B62" s="11"/>
      <c r="C62" s="11"/>
      <c r="D62" s="12"/>
      <c r="E62" s="11"/>
      <c r="F62" s="22">
        <v>27.0</v>
      </c>
      <c r="G62" s="22" t="s">
        <v>115</v>
      </c>
      <c r="H62" s="11"/>
      <c r="I62" s="11"/>
      <c r="J62" s="11"/>
      <c r="K62" s="12"/>
    </row>
    <row r="63">
      <c r="B63" s="11"/>
      <c r="C63" s="11"/>
      <c r="D63" s="21" t="s">
        <v>103</v>
      </c>
      <c r="E63" s="11"/>
      <c r="F63" s="22">
        <v>14.2</v>
      </c>
      <c r="G63" s="22" t="s">
        <v>116</v>
      </c>
      <c r="H63" s="11"/>
      <c r="I63" s="11"/>
      <c r="J63" s="11"/>
      <c r="K63" s="21" t="s">
        <v>117</v>
      </c>
      <c r="L63" s="1">
        <f>5.3*4+3</f>
        <v>24.2</v>
      </c>
      <c r="M63" s="1">
        <f>(L63*1.3*0.25)/0.75*1000</f>
        <v>10486.66667</v>
      </c>
    </row>
    <row r="64">
      <c r="B64" s="11"/>
      <c r="C64" s="11"/>
      <c r="D64" s="11"/>
      <c r="E64" s="11"/>
      <c r="F64" s="22">
        <v>18.1</v>
      </c>
      <c r="G64" s="22" t="s">
        <v>118</v>
      </c>
      <c r="H64" s="11"/>
      <c r="I64" s="11"/>
      <c r="J64" s="11"/>
      <c r="K64" s="11"/>
    </row>
    <row r="65">
      <c r="B65" s="12"/>
      <c r="C65" s="12"/>
      <c r="D65" s="12"/>
      <c r="E65" s="12"/>
      <c r="F65" s="22">
        <v>23.7</v>
      </c>
      <c r="G65" s="22" t="s">
        <v>119</v>
      </c>
      <c r="H65" s="12"/>
      <c r="I65" s="12"/>
      <c r="J65" s="12"/>
      <c r="K65" s="12"/>
    </row>
    <row r="66">
      <c r="B66" s="28" t="s">
        <v>120</v>
      </c>
      <c r="C66" s="8">
        <v>28.0</v>
      </c>
      <c r="D66" s="29"/>
      <c r="E66" s="9" t="s">
        <v>121</v>
      </c>
      <c r="F66" s="9" t="s">
        <v>122</v>
      </c>
      <c r="G66" s="9" t="s">
        <v>123</v>
      </c>
      <c r="H66" s="9">
        <v>59.0</v>
      </c>
      <c r="I66" s="9" t="s">
        <v>121</v>
      </c>
      <c r="J66" s="8" t="s">
        <v>124</v>
      </c>
      <c r="K66" s="8" t="s">
        <v>125</v>
      </c>
    </row>
    <row r="67">
      <c r="B67" s="11"/>
      <c r="C67" s="11"/>
      <c r="D67" s="9"/>
      <c r="E67" s="9" t="s">
        <v>126</v>
      </c>
      <c r="F67" s="9" t="s">
        <v>127</v>
      </c>
      <c r="G67" s="9" t="s">
        <v>128</v>
      </c>
      <c r="H67" s="9">
        <v>58.7</v>
      </c>
      <c r="I67" s="9" t="s">
        <v>126</v>
      </c>
      <c r="J67" s="11"/>
      <c r="K67" s="11"/>
    </row>
    <row r="68">
      <c r="B68" s="12"/>
      <c r="C68" s="12"/>
      <c r="D68" s="9"/>
      <c r="E68" s="9" t="s">
        <v>129</v>
      </c>
      <c r="F68" s="9" t="s">
        <v>130</v>
      </c>
      <c r="G68" s="9" t="s">
        <v>131</v>
      </c>
      <c r="H68" s="9">
        <v>58.4</v>
      </c>
      <c r="I68" s="9" t="s">
        <v>129</v>
      </c>
      <c r="J68" s="12"/>
      <c r="K68" s="12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6" t="s">
        <v>48</v>
      </c>
      <c r="C71" s="6" t="s">
        <v>41</v>
      </c>
      <c r="D71" s="6" t="s">
        <v>44</v>
      </c>
      <c r="E71" s="6" t="s">
        <v>132</v>
      </c>
      <c r="F71" s="6" t="s">
        <v>133</v>
      </c>
      <c r="G71" s="6" t="s">
        <v>46</v>
      </c>
      <c r="H71" s="30"/>
    </row>
    <row r="72">
      <c r="B72" s="31" t="s">
        <v>78</v>
      </c>
      <c r="C72" s="6">
        <v>26.0</v>
      </c>
      <c r="D72" s="6" t="s">
        <v>134</v>
      </c>
      <c r="E72" s="6" t="s">
        <v>135</v>
      </c>
      <c r="F72" s="6" t="s">
        <v>136</v>
      </c>
      <c r="G72" s="6" t="s">
        <v>137</v>
      </c>
      <c r="H72" s="30"/>
    </row>
    <row r="73">
      <c r="B73" s="32" t="s">
        <v>73</v>
      </c>
      <c r="C73" s="22">
        <v>20.0</v>
      </c>
      <c r="D73" s="22" t="s">
        <v>134</v>
      </c>
      <c r="E73" s="22" t="s">
        <v>138</v>
      </c>
      <c r="F73" s="22" t="s">
        <v>139</v>
      </c>
      <c r="G73" s="22" t="s">
        <v>140</v>
      </c>
      <c r="H73" s="22" t="s">
        <v>141</v>
      </c>
    </row>
    <row r="74">
      <c r="B74" s="10" t="s">
        <v>142</v>
      </c>
      <c r="C74" s="29"/>
      <c r="D74" s="29"/>
      <c r="E74" s="33"/>
      <c r="F74" s="29"/>
      <c r="G74" s="29"/>
      <c r="H74" s="29"/>
    </row>
    <row r="75">
      <c r="B75" s="34" t="s">
        <v>143</v>
      </c>
      <c r="C75" s="29"/>
      <c r="D75" s="29"/>
      <c r="E75" s="29"/>
      <c r="F75" s="29"/>
      <c r="G75" s="29"/>
      <c r="H75" s="29"/>
    </row>
  </sheetData>
  <mergeCells count="122">
    <mergeCell ref="L28:L30"/>
    <mergeCell ref="M28:M30"/>
    <mergeCell ref="I22:I30"/>
    <mergeCell ref="J22:J30"/>
    <mergeCell ref="K22:K24"/>
    <mergeCell ref="L22:L24"/>
    <mergeCell ref="M22:M24"/>
    <mergeCell ref="L25:L27"/>
    <mergeCell ref="M25:M27"/>
    <mergeCell ref="K3:K4"/>
    <mergeCell ref="L3:L4"/>
    <mergeCell ref="M3:M4"/>
    <mergeCell ref="U5:U6"/>
    <mergeCell ref="W5:W8"/>
    <mergeCell ref="X5:X6"/>
    <mergeCell ref="U7:U8"/>
    <mergeCell ref="X7:X8"/>
    <mergeCell ref="D5:D10"/>
    <mergeCell ref="E5:E10"/>
    <mergeCell ref="K5:K10"/>
    <mergeCell ref="L5:L10"/>
    <mergeCell ref="M5:M10"/>
    <mergeCell ref="K11:K12"/>
    <mergeCell ref="L11:L12"/>
    <mergeCell ref="M11:M12"/>
    <mergeCell ref="B3:B13"/>
    <mergeCell ref="C3:C13"/>
    <mergeCell ref="D3:D4"/>
    <mergeCell ref="E3:E4"/>
    <mergeCell ref="H3:H13"/>
    <mergeCell ref="I3:I13"/>
    <mergeCell ref="J3:J13"/>
    <mergeCell ref="I14:I21"/>
    <mergeCell ref="J14:J21"/>
    <mergeCell ref="K14:K17"/>
    <mergeCell ref="L14:L17"/>
    <mergeCell ref="M14:M17"/>
    <mergeCell ref="K18:K21"/>
    <mergeCell ref="L18:L21"/>
    <mergeCell ref="M18:M21"/>
    <mergeCell ref="D25:D27"/>
    <mergeCell ref="E25:E27"/>
    <mergeCell ref="K25:K27"/>
    <mergeCell ref="K28:K30"/>
    <mergeCell ref="D11:D12"/>
    <mergeCell ref="E11:E12"/>
    <mergeCell ref="B14:B21"/>
    <mergeCell ref="C14:C21"/>
    <mergeCell ref="D14:D17"/>
    <mergeCell ref="E14:E17"/>
    <mergeCell ref="H14:H21"/>
    <mergeCell ref="D18:D21"/>
    <mergeCell ref="E18:E21"/>
    <mergeCell ref="B22:B30"/>
    <mergeCell ref="C22:C30"/>
    <mergeCell ref="D22:D24"/>
    <mergeCell ref="E22:E24"/>
    <mergeCell ref="H22:H30"/>
    <mergeCell ref="I31:I46"/>
    <mergeCell ref="J31:J46"/>
    <mergeCell ref="K31:K46"/>
    <mergeCell ref="L31:L46"/>
    <mergeCell ref="M31:M46"/>
    <mergeCell ref="D37:D40"/>
    <mergeCell ref="E37:E40"/>
    <mergeCell ref="D28:D30"/>
    <mergeCell ref="E28:E30"/>
    <mergeCell ref="B31:B46"/>
    <mergeCell ref="C31:C46"/>
    <mergeCell ref="D31:D36"/>
    <mergeCell ref="E31:E36"/>
    <mergeCell ref="H31:H46"/>
    <mergeCell ref="I47:I51"/>
    <mergeCell ref="J47:J51"/>
    <mergeCell ref="K47:K48"/>
    <mergeCell ref="L47:L48"/>
    <mergeCell ref="M47:M48"/>
    <mergeCell ref="K49:K51"/>
    <mergeCell ref="L49:L51"/>
    <mergeCell ref="M49:M51"/>
    <mergeCell ref="D41:D46"/>
    <mergeCell ref="E41:E46"/>
    <mergeCell ref="B47:B51"/>
    <mergeCell ref="C47:C51"/>
    <mergeCell ref="D47:D48"/>
    <mergeCell ref="E47:E48"/>
    <mergeCell ref="H47:H51"/>
    <mergeCell ref="K66:K68"/>
    <mergeCell ref="L66:L68"/>
    <mergeCell ref="K60:K62"/>
    <mergeCell ref="L60:L62"/>
    <mergeCell ref="M60:M62"/>
    <mergeCell ref="K63:K65"/>
    <mergeCell ref="L63:L65"/>
    <mergeCell ref="M63:M65"/>
    <mergeCell ref="J66:J68"/>
    <mergeCell ref="M66:M68"/>
    <mergeCell ref="D49:D51"/>
    <mergeCell ref="D53:D54"/>
    <mergeCell ref="D55:D56"/>
    <mergeCell ref="D57:D59"/>
    <mergeCell ref="L57:L59"/>
    <mergeCell ref="M57:M59"/>
    <mergeCell ref="E52:E59"/>
    <mergeCell ref="E60:E65"/>
    <mergeCell ref="K53:K54"/>
    <mergeCell ref="L53:L54"/>
    <mergeCell ref="M53:M54"/>
    <mergeCell ref="K55:K56"/>
    <mergeCell ref="L55:L56"/>
    <mergeCell ref="M55:M56"/>
    <mergeCell ref="K57:K59"/>
    <mergeCell ref="B52:B65"/>
    <mergeCell ref="B66:B68"/>
    <mergeCell ref="C66:C68"/>
    <mergeCell ref="E49:E51"/>
    <mergeCell ref="C52:C65"/>
    <mergeCell ref="H52:H65"/>
    <mergeCell ref="I52:I65"/>
    <mergeCell ref="J52:J65"/>
    <mergeCell ref="D60:D62"/>
    <mergeCell ref="D63:D65"/>
  </mergeCells>
  <hyperlinks>
    <hyperlink r:id="rId1" ref="B3"/>
    <hyperlink r:id="rId2" ref="O3"/>
    <hyperlink r:id="rId3" ref="O4"/>
    <hyperlink r:id="rId4" ref="O5"/>
    <hyperlink r:id="rId5" ref="V5"/>
    <hyperlink r:id="rId6" ref="X5"/>
    <hyperlink r:id="rId7" ref="O6"/>
    <hyperlink r:id="rId8" ref="V6"/>
    <hyperlink r:id="rId9" ref="V7"/>
    <hyperlink r:id="rId10" ref="X7"/>
    <hyperlink r:id="rId11" ref="V8"/>
    <hyperlink r:id="rId12" ref="B14"/>
    <hyperlink r:id="rId13" ref="B22"/>
    <hyperlink r:id="rId14" ref="B31"/>
    <hyperlink r:id="rId15" ref="B47"/>
    <hyperlink r:id="rId16" ref="B52"/>
    <hyperlink r:id="rId17" ref="B66"/>
    <hyperlink r:id="rId18" ref="B72"/>
    <hyperlink r:id="rId19" ref="B73"/>
    <hyperlink r:id="rId20" ref="B74"/>
    <hyperlink r:id="rId21" ref="B75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18.25"/>
    <col customWidth="1" min="3" max="3" width="38.13"/>
    <col customWidth="1" min="4" max="4" width="77.88"/>
    <col customWidth="1" min="5" max="5" width="26.63"/>
    <col customWidth="1" min="6" max="6" width="134.13"/>
    <col customWidth="1" min="7" max="7" width="20.38"/>
    <col customWidth="1" min="8" max="8" width="13.5"/>
    <col customWidth="1" min="9" max="9" width="12.13"/>
    <col customWidth="1" min="12" max="12" width="11.5"/>
  </cols>
  <sheetData>
    <row r="1">
      <c r="B1" s="6" t="s">
        <v>13</v>
      </c>
      <c r="C1" s="6" t="s">
        <v>144</v>
      </c>
      <c r="D1" s="6" t="s">
        <v>65</v>
      </c>
      <c r="E1" s="6" t="s">
        <v>145</v>
      </c>
      <c r="F1" s="6" t="s">
        <v>146</v>
      </c>
      <c r="G1" s="6" t="s">
        <v>147</v>
      </c>
      <c r="H1" s="6" t="s">
        <v>148</v>
      </c>
      <c r="I1" s="6" t="s">
        <v>149</v>
      </c>
      <c r="J1" s="6" t="s">
        <v>150</v>
      </c>
      <c r="K1" s="6" t="s">
        <v>42</v>
      </c>
      <c r="L1" s="6" t="s">
        <v>151</v>
      </c>
      <c r="M1" s="6" t="s">
        <v>152</v>
      </c>
      <c r="N1" s="6" t="s">
        <v>153</v>
      </c>
    </row>
    <row r="2">
      <c r="B2" s="35" t="s">
        <v>67</v>
      </c>
      <c r="C2" s="16" t="s">
        <v>154</v>
      </c>
      <c r="D2" s="36" t="s">
        <v>71</v>
      </c>
      <c r="E2" s="6" t="s">
        <v>155</v>
      </c>
      <c r="F2" s="17" t="s">
        <v>73</v>
      </c>
      <c r="G2" s="16" t="s">
        <v>156</v>
      </c>
      <c r="H2" s="16" t="s">
        <v>157</v>
      </c>
      <c r="I2" s="16" t="s">
        <v>158</v>
      </c>
      <c r="J2" s="16" t="s">
        <v>159</v>
      </c>
      <c r="K2" s="6" t="s">
        <v>83</v>
      </c>
      <c r="L2" s="6">
        <v>8.9</v>
      </c>
      <c r="M2" s="30">
        <f t="shared" ref="M2:M25" si="1">(L2*4+3)*1.3</f>
        <v>50.18</v>
      </c>
      <c r="N2" s="30">
        <f t="shared" ref="N2:N13" si="2">(20*0.7/M2)*60</f>
        <v>16.73973695</v>
      </c>
    </row>
    <row r="3">
      <c r="B3" s="11"/>
      <c r="C3" s="11"/>
      <c r="D3" s="11"/>
      <c r="E3" s="6" t="s">
        <v>160</v>
      </c>
      <c r="F3" s="12"/>
      <c r="G3" s="12"/>
      <c r="H3" s="12"/>
      <c r="I3" s="12"/>
      <c r="J3" s="12"/>
      <c r="K3" s="6" t="s">
        <v>85</v>
      </c>
      <c r="L3" s="6">
        <v>10.3</v>
      </c>
      <c r="M3" s="30">
        <f t="shared" si="1"/>
        <v>57.46</v>
      </c>
      <c r="N3" s="30">
        <f t="shared" si="2"/>
        <v>14.6188653</v>
      </c>
    </row>
    <row r="4">
      <c r="B4" s="11"/>
      <c r="C4" s="11"/>
      <c r="D4" s="11"/>
      <c r="E4" s="6" t="s">
        <v>155</v>
      </c>
      <c r="F4" s="17" t="s">
        <v>78</v>
      </c>
      <c r="G4" s="16" t="s">
        <v>161</v>
      </c>
      <c r="H4" s="16" t="s">
        <v>162</v>
      </c>
      <c r="I4" s="16" t="s">
        <v>163</v>
      </c>
      <c r="J4" s="16" t="s">
        <v>164</v>
      </c>
      <c r="K4" s="6" t="s">
        <v>86</v>
      </c>
      <c r="L4" s="6">
        <v>9.28</v>
      </c>
      <c r="M4" s="30">
        <f t="shared" si="1"/>
        <v>52.156</v>
      </c>
      <c r="N4" s="30">
        <f t="shared" si="2"/>
        <v>16.10552957</v>
      </c>
    </row>
    <row r="5">
      <c r="B5" s="11"/>
      <c r="C5" s="11"/>
      <c r="D5" s="12"/>
      <c r="E5" s="6" t="s">
        <v>160</v>
      </c>
      <c r="F5" s="12"/>
      <c r="G5" s="12"/>
      <c r="H5" s="12"/>
      <c r="I5" s="12"/>
      <c r="J5" s="12"/>
      <c r="K5" s="6" t="s">
        <v>83</v>
      </c>
      <c r="L5" s="6">
        <v>10.7</v>
      </c>
      <c r="M5" s="30">
        <f t="shared" si="1"/>
        <v>59.54</v>
      </c>
      <c r="N5" s="30">
        <f t="shared" si="2"/>
        <v>14.10816258</v>
      </c>
    </row>
    <row r="6">
      <c r="B6" s="11"/>
      <c r="C6" s="11"/>
      <c r="D6" s="36" t="s">
        <v>75</v>
      </c>
      <c r="E6" s="6" t="s">
        <v>165</v>
      </c>
      <c r="F6" s="36" t="s">
        <v>73</v>
      </c>
      <c r="G6" s="16" t="s">
        <v>166</v>
      </c>
      <c r="H6" s="16" t="s">
        <v>167</v>
      </c>
      <c r="I6" s="16" t="s">
        <v>168</v>
      </c>
      <c r="J6" s="16" t="s">
        <v>169</v>
      </c>
      <c r="K6" s="6" t="s">
        <v>100</v>
      </c>
      <c r="L6" s="6">
        <v>7.6</v>
      </c>
      <c r="M6" s="30">
        <f t="shared" si="1"/>
        <v>43.42</v>
      </c>
      <c r="N6" s="37">
        <f t="shared" si="2"/>
        <v>19.34592354</v>
      </c>
    </row>
    <row r="7">
      <c r="B7" s="11"/>
      <c r="C7" s="11"/>
      <c r="D7" s="12"/>
      <c r="E7" s="6" t="s">
        <v>170</v>
      </c>
      <c r="F7" s="12"/>
      <c r="G7" s="12"/>
      <c r="H7" s="12"/>
      <c r="I7" s="12"/>
      <c r="J7" s="12"/>
      <c r="K7" s="6" t="s">
        <v>107</v>
      </c>
      <c r="L7" s="6">
        <v>6.7</v>
      </c>
      <c r="M7" s="30">
        <f t="shared" si="1"/>
        <v>38.74</v>
      </c>
      <c r="N7" s="29">
        <f t="shared" si="2"/>
        <v>21.68301497</v>
      </c>
    </row>
    <row r="8">
      <c r="B8" s="11"/>
      <c r="C8" s="11"/>
      <c r="D8" s="36" t="s">
        <v>77</v>
      </c>
      <c r="E8" s="6" t="s">
        <v>171</v>
      </c>
      <c r="F8" s="17" t="s">
        <v>73</v>
      </c>
      <c r="G8" s="16" t="s">
        <v>166</v>
      </c>
      <c r="H8" s="16" t="s">
        <v>157</v>
      </c>
      <c r="I8" s="16" t="s">
        <v>158</v>
      </c>
      <c r="J8" s="16" t="s">
        <v>159</v>
      </c>
      <c r="K8" s="6" t="s">
        <v>86</v>
      </c>
      <c r="L8" s="6">
        <v>10.25</v>
      </c>
      <c r="M8" s="30">
        <f t="shared" si="1"/>
        <v>57.2</v>
      </c>
      <c r="N8" s="30">
        <f t="shared" si="2"/>
        <v>14.68531469</v>
      </c>
    </row>
    <row r="9">
      <c r="B9" s="11"/>
      <c r="C9" s="11"/>
      <c r="D9" s="11"/>
      <c r="E9" s="6" t="s">
        <v>172</v>
      </c>
      <c r="F9" s="11"/>
      <c r="G9" s="11"/>
      <c r="H9" s="11"/>
      <c r="I9" s="11"/>
      <c r="J9" s="11"/>
      <c r="K9" s="6" t="s">
        <v>83</v>
      </c>
      <c r="L9" s="6">
        <v>9.8</v>
      </c>
      <c r="M9" s="30">
        <f t="shared" si="1"/>
        <v>54.86</v>
      </c>
      <c r="N9" s="30">
        <f t="shared" si="2"/>
        <v>15.31170252</v>
      </c>
    </row>
    <row r="10">
      <c r="B10" s="11"/>
      <c r="C10" s="11"/>
      <c r="D10" s="11"/>
      <c r="E10" s="6" t="s">
        <v>173</v>
      </c>
      <c r="F10" s="12"/>
      <c r="G10" s="12"/>
      <c r="H10" s="12"/>
      <c r="I10" s="12"/>
      <c r="J10" s="12"/>
      <c r="K10" s="6" t="s">
        <v>85</v>
      </c>
      <c r="L10" s="6">
        <v>10.85</v>
      </c>
      <c r="M10" s="30">
        <f t="shared" si="1"/>
        <v>60.32</v>
      </c>
      <c r="N10" s="30">
        <f t="shared" si="2"/>
        <v>13.92572944</v>
      </c>
    </row>
    <row r="11">
      <c r="B11" s="11"/>
      <c r="C11" s="11"/>
      <c r="D11" s="11"/>
      <c r="E11" s="6" t="s">
        <v>171</v>
      </c>
      <c r="F11" s="17" t="s">
        <v>78</v>
      </c>
      <c r="G11" s="16" t="s">
        <v>161</v>
      </c>
      <c r="H11" s="16" t="s">
        <v>162</v>
      </c>
      <c r="I11" s="16" t="s">
        <v>163</v>
      </c>
      <c r="J11" s="16" t="s">
        <v>164</v>
      </c>
      <c r="K11" s="6" t="s">
        <v>86</v>
      </c>
      <c r="L11" s="6">
        <v>10.68</v>
      </c>
      <c r="M11" s="30">
        <f t="shared" si="1"/>
        <v>59.436</v>
      </c>
      <c r="N11" s="30">
        <f t="shared" si="2"/>
        <v>14.13284878</v>
      </c>
    </row>
    <row r="12">
      <c r="B12" s="11"/>
      <c r="C12" s="11"/>
      <c r="D12" s="11"/>
      <c r="E12" s="6" t="s">
        <v>172</v>
      </c>
      <c r="F12" s="11"/>
      <c r="G12" s="11"/>
      <c r="H12" s="11"/>
      <c r="I12" s="11"/>
      <c r="J12" s="11"/>
      <c r="K12" s="6" t="s">
        <v>83</v>
      </c>
      <c r="L12" s="6">
        <v>10.18</v>
      </c>
      <c r="M12" s="30">
        <f t="shared" si="1"/>
        <v>56.836</v>
      </c>
      <c r="N12" s="30">
        <f t="shared" si="2"/>
        <v>14.77936519</v>
      </c>
    </row>
    <row r="13">
      <c r="B13" s="12"/>
      <c r="C13" s="12"/>
      <c r="D13" s="12"/>
      <c r="E13" s="6" t="s">
        <v>173</v>
      </c>
      <c r="F13" s="12"/>
      <c r="G13" s="12"/>
      <c r="H13" s="12"/>
      <c r="I13" s="12"/>
      <c r="J13" s="12"/>
      <c r="K13" s="6" t="s">
        <v>85</v>
      </c>
      <c r="L13" s="6">
        <v>11.28</v>
      </c>
      <c r="M13" s="30">
        <f t="shared" si="1"/>
        <v>62.556</v>
      </c>
      <c r="N13" s="30">
        <f t="shared" si="2"/>
        <v>13.42796854</v>
      </c>
    </row>
    <row r="14">
      <c r="B14" s="38" t="s">
        <v>74</v>
      </c>
      <c r="C14" s="16" t="s">
        <v>174</v>
      </c>
      <c r="D14" s="36" t="s">
        <v>71</v>
      </c>
      <c r="E14" s="6" t="s">
        <v>155</v>
      </c>
      <c r="F14" s="17" t="s">
        <v>73</v>
      </c>
      <c r="G14" s="16" t="s">
        <v>156</v>
      </c>
      <c r="H14" s="16" t="s">
        <v>175</v>
      </c>
      <c r="I14" s="16" t="s">
        <v>176</v>
      </c>
      <c r="J14" s="16" t="s">
        <v>177</v>
      </c>
      <c r="K14" s="6" t="s">
        <v>83</v>
      </c>
      <c r="L14" s="6">
        <v>7.76</v>
      </c>
      <c r="M14" s="30">
        <f t="shared" si="1"/>
        <v>44.252</v>
      </c>
      <c r="N14" s="30">
        <f t="shared" ref="N14:N15" si="3">(16*0.7/M14)*60</f>
        <v>15.18575432</v>
      </c>
    </row>
    <row r="15">
      <c r="B15" s="11"/>
      <c r="C15" s="11"/>
      <c r="D15" s="11"/>
      <c r="E15" s="6" t="s">
        <v>160</v>
      </c>
      <c r="F15" s="12"/>
      <c r="G15" s="12"/>
      <c r="H15" s="12"/>
      <c r="I15" s="12"/>
      <c r="J15" s="12"/>
      <c r="K15" s="6" t="s">
        <v>85</v>
      </c>
      <c r="L15" s="6">
        <v>9.1</v>
      </c>
      <c r="M15" s="30">
        <f t="shared" si="1"/>
        <v>51.22</v>
      </c>
      <c r="N15" s="30">
        <f t="shared" si="3"/>
        <v>13.11987505</v>
      </c>
    </row>
    <row r="16">
      <c r="B16" s="11"/>
      <c r="C16" s="11"/>
      <c r="D16" s="11"/>
      <c r="E16" s="6" t="s">
        <v>155</v>
      </c>
      <c r="F16" s="17" t="s">
        <v>78</v>
      </c>
      <c r="G16" s="16" t="s">
        <v>161</v>
      </c>
      <c r="H16" s="16" t="s">
        <v>178</v>
      </c>
      <c r="I16" s="16" t="s">
        <v>179</v>
      </c>
      <c r="J16" s="16" t="s">
        <v>180</v>
      </c>
      <c r="K16" s="6" t="s">
        <v>83</v>
      </c>
      <c r="L16" s="6">
        <v>8.14</v>
      </c>
      <c r="M16" s="30">
        <f t="shared" si="1"/>
        <v>46.228</v>
      </c>
      <c r="N16" s="30">
        <f>(16*0.7/M15)*60</f>
        <v>13.11987505</v>
      </c>
    </row>
    <row r="17">
      <c r="B17" s="11"/>
      <c r="C17" s="11"/>
      <c r="D17" s="12"/>
      <c r="E17" s="6" t="s">
        <v>160</v>
      </c>
      <c r="F17" s="12"/>
      <c r="G17" s="12"/>
      <c r="H17" s="12"/>
      <c r="I17" s="12"/>
      <c r="J17" s="12"/>
      <c r="K17" s="6" t="s">
        <v>85</v>
      </c>
      <c r="L17" s="6">
        <v>9.5</v>
      </c>
      <c r="M17" s="30">
        <f t="shared" si="1"/>
        <v>53.3</v>
      </c>
      <c r="N17" s="30">
        <f t="shared" ref="N17:N25" si="4">(16*0.7/M17)*60</f>
        <v>12.60787992</v>
      </c>
    </row>
    <row r="18">
      <c r="B18" s="11"/>
      <c r="C18" s="11"/>
      <c r="D18" s="17" t="s">
        <v>75</v>
      </c>
      <c r="E18" s="6" t="s">
        <v>165</v>
      </c>
      <c r="F18" s="17" t="s">
        <v>73</v>
      </c>
      <c r="G18" s="16" t="s">
        <v>166</v>
      </c>
      <c r="H18" s="16" t="s">
        <v>175</v>
      </c>
      <c r="I18" s="16" t="s">
        <v>176</v>
      </c>
      <c r="J18" s="16" t="s">
        <v>177</v>
      </c>
      <c r="K18" s="6" t="s">
        <v>100</v>
      </c>
      <c r="L18" s="6">
        <v>6.4</v>
      </c>
      <c r="M18" s="30">
        <f t="shared" si="1"/>
        <v>37.18</v>
      </c>
      <c r="N18" s="37">
        <f t="shared" si="4"/>
        <v>18.07423346</v>
      </c>
    </row>
    <row r="19">
      <c r="B19" s="11"/>
      <c r="C19" s="11"/>
      <c r="D19" s="12"/>
      <c r="E19" s="6" t="s">
        <v>170</v>
      </c>
      <c r="F19" s="12"/>
      <c r="G19" s="12"/>
      <c r="H19" s="12"/>
      <c r="I19" s="12"/>
      <c r="J19" s="12"/>
      <c r="K19" s="6" t="s">
        <v>107</v>
      </c>
      <c r="L19" s="6">
        <v>5.68</v>
      </c>
      <c r="M19" s="30">
        <f t="shared" si="1"/>
        <v>33.436</v>
      </c>
      <c r="N19" s="29">
        <f t="shared" si="4"/>
        <v>20.09809786</v>
      </c>
    </row>
    <row r="20">
      <c r="B20" s="11"/>
      <c r="C20" s="11"/>
      <c r="D20" s="36" t="s">
        <v>77</v>
      </c>
      <c r="E20" s="6" t="s">
        <v>171</v>
      </c>
      <c r="F20" s="17" t="s">
        <v>73</v>
      </c>
      <c r="G20" s="16" t="s">
        <v>166</v>
      </c>
      <c r="H20" s="16" t="s">
        <v>181</v>
      </c>
      <c r="I20" s="16" t="s">
        <v>176</v>
      </c>
      <c r="J20" s="16" t="s">
        <v>177</v>
      </c>
      <c r="K20" s="6" t="s">
        <v>86</v>
      </c>
      <c r="L20" s="6">
        <v>8.69</v>
      </c>
      <c r="M20" s="30">
        <f t="shared" si="1"/>
        <v>49.088</v>
      </c>
      <c r="N20" s="30">
        <f t="shared" si="4"/>
        <v>13.68970013</v>
      </c>
    </row>
    <row r="21">
      <c r="B21" s="11"/>
      <c r="C21" s="11"/>
      <c r="D21" s="11"/>
      <c r="E21" s="6" t="s">
        <v>172</v>
      </c>
      <c r="F21" s="11"/>
      <c r="G21" s="11"/>
      <c r="H21" s="11"/>
      <c r="I21" s="11"/>
      <c r="J21" s="11"/>
      <c r="K21" s="6" t="s">
        <v>83</v>
      </c>
      <c r="L21" s="6">
        <v>8.66</v>
      </c>
      <c r="M21" s="30">
        <f t="shared" si="1"/>
        <v>48.932</v>
      </c>
      <c r="N21" s="30">
        <f t="shared" si="4"/>
        <v>13.73334423</v>
      </c>
    </row>
    <row r="22">
      <c r="B22" s="11"/>
      <c r="C22" s="11"/>
      <c r="D22" s="11"/>
      <c r="E22" s="6" t="s">
        <v>173</v>
      </c>
      <c r="F22" s="12"/>
      <c r="G22" s="12"/>
      <c r="H22" s="12"/>
      <c r="I22" s="12"/>
      <c r="J22" s="12"/>
      <c r="K22" s="6" t="s">
        <v>85</v>
      </c>
      <c r="L22" s="6">
        <v>9.56</v>
      </c>
      <c r="M22" s="30">
        <f t="shared" si="1"/>
        <v>53.612</v>
      </c>
      <c r="N22" s="30">
        <f t="shared" si="4"/>
        <v>12.5345072</v>
      </c>
    </row>
    <row r="23">
      <c r="B23" s="11"/>
      <c r="C23" s="11"/>
      <c r="D23" s="11"/>
      <c r="E23" s="6" t="s">
        <v>171</v>
      </c>
      <c r="F23" s="17" t="s">
        <v>78</v>
      </c>
      <c r="G23" s="16" t="s">
        <v>182</v>
      </c>
      <c r="H23" s="16" t="s">
        <v>178</v>
      </c>
      <c r="I23" s="16" t="s">
        <v>179</v>
      </c>
      <c r="J23" s="16" t="s">
        <v>180</v>
      </c>
      <c r="K23" s="6" t="s">
        <v>86</v>
      </c>
      <c r="L23" s="6">
        <v>9.39</v>
      </c>
      <c r="M23" s="30">
        <f t="shared" si="1"/>
        <v>52.728</v>
      </c>
      <c r="N23" s="30">
        <f t="shared" si="4"/>
        <v>12.7446518</v>
      </c>
    </row>
    <row r="24">
      <c r="B24" s="11"/>
      <c r="C24" s="11"/>
      <c r="D24" s="11"/>
      <c r="E24" s="6" t="s">
        <v>172</v>
      </c>
      <c r="F24" s="11"/>
      <c r="G24" s="11"/>
      <c r="H24" s="11"/>
      <c r="I24" s="11"/>
      <c r="J24" s="11"/>
      <c r="K24" s="6" t="s">
        <v>83</v>
      </c>
      <c r="L24" s="6">
        <v>9.04</v>
      </c>
      <c r="M24" s="30">
        <f t="shared" si="1"/>
        <v>50.908</v>
      </c>
      <c r="N24" s="30">
        <f t="shared" si="4"/>
        <v>13.20028286</v>
      </c>
      <c r="Q24" s="3" t="s">
        <v>183</v>
      </c>
    </row>
    <row r="25">
      <c r="B25" s="12"/>
      <c r="C25" s="12"/>
      <c r="D25" s="12"/>
      <c r="E25" s="6" t="s">
        <v>173</v>
      </c>
      <c r="F25" s="12"/>
      <c r="G25" s="12"/>
      <c r="H25" s="12"/>
      <c r="I25" s="12"/>
      <c r="J25" s="12"/>
      <c r="K25" s="6" t="s">
        <v>85</v>
      </c>
      <c r="L25" s="6">
        <v>9.99</v>
      </c>
      <c r="M25" s="30">
        <f t="shared" si="1"/>
        <v>55.848</v>
      </c>
      <c r="N25" s="30">
        <f t="shared" si="4"/>
        <v>12.03266008</v>
      </c>
    </row>
    <row r="29">
      <c r="B29" s="6" t="s">
        <v>184</v>
      </c>
      <c r="C29" s="6" t="s">
        <v>185</v>
      </c>
      <c r="D29" s="6" t="s">
        <v>65</v>
      </c>
      <c r="E29" s="6" t="s">
        <v>145</v>
      </c>
      <c r="F29" s="6" t="s">
        <v>146</v>
      </c>
      <c r="G29" s="6" t="s">
        <v>147</v>
      </c>
      <c r="H29" s="6" t="s">
        <v>148</v>
      </c>
      <c r="I29" s="6" t="s">
        <v>149</v>
      </c>
      <c r="J29" s="6" t="s">
        <v>150</v>
      </c>
      <c r="K29" s="6" t="s">
        <v>42</v>
      </c>
      <c r="L29" s="6" t="s">
        <v>151</v>
      </c>
      <c r="M29" s="6" t="s">
        <v>152</v>
      </c>
      <c r="N29" s="6" t="s">
        <v>153</v>
      </c>
      <c r="O29" s="6" t="s">
        <v>186</v>
      </c>
    </row>
    <row r="30">
      <c r="B30" s="18" t="s">
        <v>67</v>
      </c>
      <c r="C30" s="16" t="s">
        <v>154</v>
      </c>
      <c r="D30" s="18" t="s">
        <v>75</v>
      </c>
      <c r="E30" s="6" t="s">
        <v>165</v>
      </c>
      <c r="F30" s="18" t="s">
        <v>73</v>
      </c>
      <c r="G30" s="16" t="s">
        <v>166</v>
      </c>
      <c r="H30" s="16" t="s">
        <v>167</v>
      </c>
      <c r="I30" s="16" t="s">
        <v>168</v>
      </c>
      <c r="J30" s="16" t="s">
        <v>169</v>
      </c>
      <c r="K30" s="16" t="s">
        <v>100</v>
      </c>
      <c r="L30" s="16">
        <v>7.6</v>
      </c>
      <c r="M30" s="39">
        <f t="shared" ref="M30:M31" si="5">(L30*4+3)*1.3</f>
        <v>43.42</v>
      </c>
      <c r="N30" s="40">
        <f>(20*0.7/M30)*60</f>
        <v>19.34592354</v>
      </c>
      <c r="O30" s="30">
        <f t="shared" ref="O30:O31" si="6">(25.3*4+3)*1.3</f>
        <v>135.46</v>
      </c>
    </row>
    <row r="31">
      <c r="B31" s="41" t="s">
        <v>74</v>
      </c>
      <c r="C31" s="6" t="s">
        <v>174</v>
      </c>
      <c r="D31" s="41" t="s">
        <v>75</v>
      </c>
      <c r="E31" s="6" t="s">
        <v>165</v>
      </c>
      <c r="F31" s="41" t="s">
        <v>73</v>
      </c>
      <c r="G31" s="6" t="s">
        <v>166</v>
      </c>
      <c r="H31" s="6" t="s">
        <v>175</v>
      </c>
      <c r="I31" s="6" t="s">
        <v>176</v>
      </c>
      <c r="J31" s="6" t="s">
        <v>177</v>
      </c>
      <c r="K31" s="6" t="s">
        <v>100</v>
      </c>
      <c r="L31" s="6">
        <v>6.4</v>
      </c>
      <c r="M31" s="30">
        <f t="shared" si="5"/>
        <v>37.18</v>
      </c>
      <c r="N31" s="37">
        <f>(16*0.7/M31)*60</f>
        <v>18.07423346</v>
      </c>
      <c r="O31" s="30">
        <f t="shared" si="6"/>
        <v>135.46</v>
      </c>
    </row>
    <row r="32">
      <c r="C32" s="3"/>
      <c r="G32" s="3"/>
      <c r="H32" s="3"/>
      <c r="I32" s="3"/>
      <c r="J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</sheetData>
  <mergeCells count="60">
    <mergeCell ref="F2:F3"/>
    <mergeCell ref="F4:F5"/>
    <mergeCell ref="G4:G5"/>
    <mergeCell ref="H4:H5"/>
    <mergeCell ref="I4:I5"/>
    <mergeCell ref="J4:J5"/>
    <mergeCell ref="D6:D7"/>
    <mergeCell ref="F6:F7"/>
    <mergeCell ref="G6:G7"/>
    <mergeCell ref="H6:H7"/>
    <mergeCell ref="I6:I7"/>
    <mergeCell ref="J6:J7"/>
    <mergeCell ref="G8:G10"/>
    <mergeCell ref="H8:H10"/>
    <mergeCell ref="C14:C25"/>
    <mergeCell ref="D20:D25"/>
    <mergeCell ref="D8:D13"/>
    <mergeCell ref="F8:F10"/>
    <mergeCell ref="F11:F13"/>
    <mergeCell ref="B14:B25"/>
    <mergeCell ref="F14:F15"/>
    <mergeCell ref="F16:F17"/>
    <mergeCell ref="F18:F19"/>
    <mergeCell ref="I8:I10"/>
    <mergeCell ref="J8:J10"/>
    <mergeCell ref="I11:I13"/>
    <mergeCell ref="J11:J13"/>
    <mergeCell ref="I14:I15"/>
    <mergeCell ref="J14:J15"/>
    <mergeCell ref="I16:I17"/>
    <mergeCell ref="J16:J17"/>
    <mergeCell ref="I18:I19"/>
    <mergeCell ref="J18:J19"/>
    <mergeCell ref="B2:B13"/>
    <mergeCell ref="C2:C13"/>
    <mergeCell ref="D2:D5"/>
    <mergeCell ref="G2:G3"/>
    <mergeCell ref="H2:H3"/>
    <mergeCell ref="I2:I3"/>
    <mergeCell ref="J2:J3"/>
    <mergeCell ref="D14:D17"/>
    <mergeCell ref="D18:D19"/>
    <mergeCell ref="G18:G19"/>
    <mergeCell ref="G20:G22"/>
    <mergeCell ref="H20:H22"/>
    <mergeCell ref="I20:I22"/>
    <mergeCell ref="J20:J22"/>
    <mergeCell ref="G11:G13"/>
    <mergeCell ref="H11:H13"/>
    <mergeCell ref="G14:G15"/>
    <mergeCell ref="H14:H15"/>
    <mergeCell ref="G16:G17"/>
    <mergeCell ref="H16:H17"/>
    <mergeCell ref="H18:H19"/>
    <mergeCell ref="F20:F22"/>
    <mergeCell ref="F23:F25"/>
    <mergeCell ref="G23:G25"/>
    <mergeCell ref="H23:H25"/>
    <mergeCell ref="I23:I25"/>
    <mergeCell ref="J23:J25"/>
  </mergeCells>
  <hyperlinks>
    <hyperlink r:id="rId1" ref="B2"/>
    <hyperlink r:id="rId2" ref="D2"/>
    <hyperlink r:id="rId3" ref="F2"/>
    <hyperlink r:id="rId4" ref="F4"/>
    <hyperlink r:id="rId5" ref="D6"/>
    <hyperlink r:id="rId6" ref="F6"/>
    <hyperlink r:id="rId7" ref="D8"/>
    <hyperlink r:id="rId8" ref="F8"/>
    <hyperlink r:id="rId9" ref="F11"/>
    <hyperlink r:id="rId10" ref="B14"/>
    <hyperlink r:id="rId11" ref="D14"/>
    <hyperlink r:id="rId12" ref="F14"/>
    <hyperlink r:id="rId13" ref="F16"/>
    <hyperlink r:id="rId14" ref="D18"/>
    <hyperlink r:id="rId15" ref="F18"/>
    <hyperlink r:id="rId16" ref="D20"/>
    <hyperlink r:id="rId17" ref="F20"/>
    <hyperlink r:id="rId18" ref="F23"/>
    <hyperlink r:id="rId19" ref="B30"/>
    <hyperlink r:id="rId20" ref="D30"/>
    <hyperlink r:id="rId21" ref="F30"/>
    <hyperlink r:id="rId22" ref="B31"/>
    <hyperlink r:id="rId23" ref="D31"/>
    <hyperlink r:id="rId24" ref="F31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13"/>
    <col customWidth="1" min="5" max="5" width="120.63"/>
    <col customWidth="1" min="8" max="8" width="38.13"/>
    <col customWidth="1" min="9" max="9" width="75.88"/>
    <col customWidth="1" min="10" max="10" width="57.25"/>
  </cols>
  <sheetData>
    <row r="1">
      <c r="B1" s="30"/>
      <c r="C1" s="30" t="s">
        <v>0</v>
      </c>
      <c r="D1" s="30" t="s">
        <v>1</v>
      </c>
      <c r="E1" s="6" t="s">
        <v>187</v>
      </c>
      <c r="F1" s="6" t="s">
        <v>46</v>
      </c>
      <c r="J1" s="3" t="s">
        <v>188</v>
      </c>
    </row>
    <row r="2">
      <c r="B2" s="42" t="s">
        <v>5</v>
      </c>
      <c r="C2" s="42" t="s">
        <v>6</v>
      </c>
      <c r="D2" s="6" t="s">
        <v>7</v>
      </c>
      <c r="E2" s="18" t="s">
        <v>189</v>
      </c>
      <c r="F2" s="6">
        <v>630.0</v>
      </c>
      <c r="H2" s="3" t="s">
        <v>190</v>
      </c>
      <c r="I2" s="43" t="s">
        <v>191</v>
      </c>
      <c r="J2" s="3" t="s">
        <v>192</v>
      </c>
    </row>
    <row r="3">
      <c r="B3" s="11"/>
      <c r="C3" s="11"/>
      <c r="D3" s="30" t="s">
        <v>9</v>
      </c>
      <c r="E3" s="30"/>
      <c r="F3" s="30"/>
      <c r="I3" s="43" t="s">
        <v>193</v>
      </c>
      <c r="J3" s="3" t="s">
        <v>194</v>
      </c>
    </row>
    <row r="4">
      <c r="B4" s="11"/>
      <c r="C4" s="11"/>
      <c r="D4" s="30" t="s">
        <v>10</v>
      </c>
      <c r="E4" s="30"/>
      <c r="F4" s="30"/>
      <c r="I4" s="44" t="s">
        <v>195</v>
      </c>
      <c r="J4" s="45" t="s">
        <v>196</v>
      </c>
    </row>
    <row r="5">
      <c r="B5" s="11"/>
      <c r="C5" s="12"/>
      <c r="D5" s="30" t="s">
        <v>11</v>
      </c>
      <c r="E5" s="18" t="s">
        <v>197</v>
      </c>
      <c r="F5" s="6">
        <v>24.0</v>
      </c>
      <c r="H5" s="3" t="s">
        <v>198</v>
      </c>
      <c r="I5" s="44" t="s">
        <v>199</v>
      </c>
      <c r="J5" s="45" t="s">
        <v>200</v>
      </c>
    </row>
    <row r="6">
      <c r="B6" s="11"/>
      <c r="C6" s="42" t="s">
        <v>12</v>
      </c>
      <c r="D6" s="30" t="s">
        <v>13</v>
      </c>
      <c r="E6" s="41" t="s">
        <v>67</v>
      </c>
      <c r="F6" s="6">
        <v>1560.0</v>
      </c>
      <c r="H6" s="3" t="s">
        <v>201</v>
      </c>
      <c r="I6" s="46" t="s">
        <v>202</v>
      </c>
      <c r="J6" s="45" t="s">
        <v>203</v>
      </c>
    </row>
    <row r="7">
      <c r="B7" s="11"/>
      <c r="C7" s="11"/>
      <c r="D7" s="30" t="s">
        <v>15</v>
      </c>
      <c r="E7" s="18" t="s">
        <v>204</v>
      </c>
      <c r="F7" s="6">
        <v>20.0</v>
      </c>
      <c r="H7" s="3" t="s">
        <v>205</v>
      </c>
      <c r="J7" s="45" t="s">
        <v>206</v>
      </c>
    </row>
    <row r="8">
      <c r="B8" s="11"/>
      <c r="C8" s="11"/>
      <c r="D8" s="47" t="s">
        <v>16</v>
      </c>
      <c r="E8" s="18" t="s">
        <v>207</v>
      </c>
      <c r="F8" s="6">
        <v>4.6</v>
      </c>
      <c r="G8" s="48"/>
      <c r="H8" s="3" t="s">
        <v>15</v>
      </c>
      <c r="J8" s="45" t="s">
        <v>208</v>
      </c>
    </row>
    <row r="9">
      <c r="B9" s="11"/>
      <c r="C9" s="11"/>
      <c r="D9" s="30" t="s">
        <v>17</v>
      </c>
      <c r="E9" s="17" t="s">
        <v>197</v>
      </c>
      <c r="F9" s="16">
        <v>150.0</v>
      </c>
      <c r="H9" s="3" t="s">
        <v>33</v>
      </c>
      <c r="J9" s="49"/>
    </row>
    <row r="10">
      <c r="B10" s="11"/>
      <c r="C10" s="11"/>
      <c r="D10" s="30" t="s">
        <v>19</v>
      </c>
      <c r="E10" s="12"/>
      <c r="F10" s="12"/>
      <c r="H10" s="3" t="s">
        <v>209</v>
      </c>
      <c r="J10" s="45" t="s">
        <v>210</v>
      </c>
    </row>
    <row r="11">
      <c r="B11" s="11"/>
      <c r="C11" s="11"/>
      <c r="D11" s="30" t="s">
        <v>21</v>
      </c>
      <c r="E11" s="18" t="s">
        <v>73</v>
      </c>
      <c r="F11" s="30">
        <f>6.8*4</f>
        <v>27.2</v>
      </c>
      <c r="H11" s="3" t="s">
        <v>26</v>
      </c>
      <c r="I11" s="50" t="s">
        <v>211</v>
      </c>
      <c r="J11" s="45" t="s">
        <v>212</v>
      </c>
    </row>
    <row r="12">
      <c r="B12" s="11"/>
      <c r="C12" s="11"/>
      <c r="D12" s="6" t="s">
        <v>213</v>
      </c>
      <c r="E12" s="18" t="s">
        <v>77</v>
      </c>
      <c r="F12" s="30">
        <f>108*4</f>
        <v>432</v>
      </c>
      <c r="H12" s="3" t="s">
        <v>19</v>
      </c>
      <c r="I12" s="44" t="s">
        <v>214</v>
      </c>
      <c r="J12" s="45" t="s">
        <v>215</v>
      </c>
    </row>
    <row r="13">
      <c r="B13" s="11"/>
      <c r="C13" s="11"/>
      <c r="D13" s="30" t="s">
        <v>25</v>
      </c>
      <c r="E13" s="18" t="s">
        <v>216</v>
      </c>
      <c r="F13" s="6">
        <v>18.0</v>
      </c>
      <c r="H13" s="3" t="s">
        <v>25</v>
      </c>
      <c r="I13" s="44" t="s">
        <v>217</v>
      </c>
      <c r="J13" s="45" t="s">
        <v>218</v>
      </c>
    </row>
    <row r="14">
      <c r="B14" s="11"/>
      <c r="C14" s="11"/>
      <c r="D14" s="30" t="s">
        <v>26</v>
      </c>
      <c r="E14" s="18" t="s">
        <v>211</v>
      </c>
      <c r="F14" s="6">
        <v>50.0</v>
      </c>
    </row>
    <row r="15">
      <c r="B15" s="11"/>
      <c r="C15" s="11"/>
      <c r="D15" s="30" t="s">
        <v>29</v>
      </c>
      <c r="E15" s="17" t="s">
        <v>219</v>
      </c>
      <c r="F15" s="16">
        <v>53.0</v>
      </c>
    </row>
    <row r="16">
      <c r="B16" s="11"/>
      <c r="C16" s="11"/>
      <c r="D16" s="30" t="s">
        <v>30</v>
      </c>
      <c r="E16" s="11"/>
      <c r="F16" s="11"/>
    </row>
    <row r="17">
      <c r="B17" s="11"/>
      <c r="C17" s="11"/>
      <c r="D17" s="30" t="s">
        <v>31</v>
      </c>
      <c r="E17" s="11"/>
      <c r="F17" s="11"/>
    </row>
    <row r="18">
      <c r="B18" s="11"/>
      <c r="C18" s="11"/>
      <c r="D18" s="30" t="s">
        <v>32</v>
      </c>
      <c r="E18" s="12"/>
      <c r="F18" s="12"/>
    </row>
    <row r="19">
      <c r="B19" s="11"/>
      <c r="C19" s="11"/>
      <c r="D19" s="30" t="s">
        <v>33</v>
      </c>
      <c r="E19" s="18" t="s">
        <v>220</v>
      </c>
      <c r="F19" s="6">
        <v>6.0</v>
      </c>
    </row>
    <row r="20">
      <c r="B20" s="11"/>
      <c r="C20" s="11"/>
      <c r="D20" s="30" t="s">
        <v>34</v>
      </c>
      <c r="E20" s="17" t="s">
        <v>221</v>
      </c>
      <c r="F20" s="16">
        <v>64.0</v>
      </c>
    </row>
    <row r="21">
      <c r="B21" s="11"/>
      <c r="C21" s="11"/>
      <c r="D21" s="30" t="s">
        <v>35</v>
      </c>
      <c r="E21" s="12"/>
      <c r="F21" s="12"/>
    </row>
    <row r="22">
      <c r="B22" s="11"/>
      <c r="C22" s="12"/>
      <c r="D22" s="30" t="s">
        <v>36</v>
      </c>
      <c r="E22" s="18" t="s">
        <v>222</v>
      </c>
      <c r="F22" s="6">
        <v>5.0</v>
      </c>
    </row>
    <row r="23">
      <c r="B23" s="11"/>
      <c r="C23" s="42" t="s">
        <v>38</v>
      </c>
      <c r="D23" s="30" t="s">
        <v>39</v>
      </c>
      <c r="E23" s="30"/>
      <c r="F23" s="30"/>
    </row>
    <row r="24">
      <c r="B24" s="12"/>
      <c r="C24" s="12"/>
      <c r="D24" s="30" t="s">
        <v>40</v>
      </c>
      <c r="E24" s="30"/>
      <c r="F24" s="30">
        <f>F2+F5+F6+F7+F8+F9+F11+F12+F13+F14+F15+F19+F20+F22</f>
        <v>3043.8</v>
      </c>
    </row>
  </sheetData>
  <mergeCells count="12">
    <mergeCell ref="E15:E18"/>
    <mergeCell ref="F15:F18"/>
    <mergeCell ref="E20:E21"/>
    <mergeCell ref="F20:F21"/>
    <mergeCell ref="B2:B24"/>
    <mergeCell ref="C2:C5"/>
    <mergeCell ref="H2:H4"/>
    <mergeCell ref="C6:C22"/>
    <mergeCell ref="I6:I10"/>
    <mergeCell ref="E9:E10"/>
    <mergeCell ref="F9:F10"/>
    <mergeCell ref="C23:C24"/>
  </mergeCells>
  <hyperlinks>
    <hyperlink r:id="rId1" ref="E2"/>
    <hyperlink r:id="rId2" ref="I2"/>
    <hyperlink r:id="rId3" ref="I3"/>
    <hyperlink r:id="rId4" ref="I4"/>
    <hyperlink r:id="rId5" ref="E5"/>
    <hyperlink r:id="rId6" ref="I5"/>
    <hyperlink r:id="rId7" ref="E6"/>
    <hyperlink r:id="rId8" ref="I6"/>
    <hyperlink r:id="rId9" ref="E7"/>
    <hyperlink r:id="rId10" ref="E8"/>
    <hyperlink r:id="rId11" ref="E9"/>
    <hyperlink r:id="rId12" ref="E11"/>
    <hyperlink r:id="rId13" ref="I11"/>
    <hyperlink r:id="rId14" ref="E12"/>
    <hyperlink r:id="rId15" ref="I12"/>
    <hyperlink r:id="rId16" ref="E13"/>
    <hyperlink r:id="rId17" ref="I13"/>
    <hyperlink r:id="rId18" ref="E14"/>
    <hyperlink r:id="rId19" ref="E15"/>
    <hyperlink r:id="rId20" ref="E19"/>
    <hyperlink r:id="rId21" ref="E20"/>
    <hyperlink r:id="rId22" ref="E22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3.25"/>
    <col customWidth="1" min="3" max="3" width="120.25"/>
    <col customWidth="1" min="4" max="4" width="63.38"/>
    <col customWidth="1" min="5" max="5" width="19.13"/>
    <col customWidth="1" min="7" max="7" width="101.0"/>
    <col customWidth="1" min="8" max="8" width="50.75"/>
    <col customWidth="1" min="9" max="9" width="18.88"/>
  </cols>
  <sheetData>
    <row r="2">
      <c r="A2" s="30"/>
      <c r="B2" s="6" t="s">
        <v>223</v>
      </c>
      <c r="C2" s="30"/>
      <c r="D2" s="6" t="s">
        <v>224</v>
      </c>
      <c r="E2" s="6" t="s">
        <v>225</v>
      </c>
      <c r="F2" s="6" t="s">
        <v>41</v>
      </c>
      <c r="G2" s="30"/>
      <c r="H2" s="6" t="s">
        <v>224</v>
      </c>
      <c r="I2" s="6" t="s">
        <v>46</v>
      </c>
      <c r="J2" s="6" t="s">
        <v>41</v>
      </c>
    </row>
    <row r="3">
      <c r="A3" s="16" t="s">
        <v>226</v>
      </c>
      <c r="B3" s="6" t="s">
        <v>13</v>
      </c>
      <c r="C3" s="18" t="s">
        <v>74</v>
      </c>
      <c r="D3" s="6" t="s">
        <v>227</v>
      </c>
      <c r="E3" s="6">
        <v>1270.0</v>
      </c>
      <c r="F3" s="6">
        <v>186.0</v>
      </c>
      <c r="G3" s="18" t="s">
        <v>74</v>
      </c>
      <c r="H3" s="30"/>
      <c r="I3" s="30"/>
      <c r="J3" s="30">
        <f>257*5</f>
        <v>1285</v>
      </c>
    </row>
    <row r="4">
      <c r="A4" s="11"/>
      <c r="B4" s="6" t="s">
        <v>65</v>
      </c>
      <c r="C4" s="18" t="s">
        <v>228</v>
      </c>
      <c r="D4" s="6" t="s">
        <v>229</v>
      </c>
      <c r="E4" s="30">
        <f>102*4</f>
        <v>408</v>
      </c>
      <c r="F4" s="30">
        <f>35*4</f>
        <v>140</v>
      </c>
      <c r="G4" s="32" t="s">
        <v>230</v>
      </c>
      <c r="H4" s="30"/>
      <c r="I4" s="30"/>
      <c r="J4" s="30">
        <f>83*4</f>
        <v>332</v>
      </c>
      <c r="K4" s="49"/>
    </row>
    <row r="5">
      <c r="A5" s="11"/>
      <c r="B5" s="6" t="s">
        <v>146</v>
      </c>
      <c r="C5" s="18" t="s">
        <v>231</v>
      </c>
      <c r="D5" s="6" t="s">
        <v>166</v>
      </c>
      <c r="E5" s="30">
        <f>6.8*4</f>
        <v>27.2</v>
      </c>
      <c r="F5" s="30">
        <f>20*4</f>
        <v>80</v>
      </c>
      <c r="G5" s="13" t="s">
        <v>232</v>
      </c>
      <c r="H5" s="9"/>
      <c r="I5" s="6"/>
      <c r="J5" s="6">
        <f>145</f>
        <v>145</v>
      </c>
      <c r="K5" s="49"/>
    </row>
    <row r="6">
      <c r="A6" s="12"/>
      <c r="B6" s="6" t="s">
        <v>233</v>
      </c>
      <c r="C6" s="18" t="s">
        <v>234</v>
      </c>
      <c r="D6" s="6" t="s">
        <v>235</v>
      </c>
      <c r="E6" s="6">
        <v>18.0</v>
      </c>
      <c r="F6" s="6">
        <v>15.0</v>
      </c>
      <c r="G6" s="32" t="s">
        <v>236</v>
      </c>
      <c r="H6" s="30"/>
      <c r="I6" s="30"/>
      <c r="J6" s="6">
        <v>100.0</v>
      </c>
      <c r="K6" s="51"/>
    </row>
    <row r="7">
      <c r="A7" s="16" t="s">
        <v>237</v>
      </c>
      <c r="B7" s="6" t="s">
        <v>17</v>
      </c>
      <c r="C7" s="17" t="s">
        <v>202</v>
      </c>
      <c r="D7" s="6" t="s">
        <v>206</v>
      </c>
      <c r="E7" s="6">
        <v>33.0</v>
      </c>
      <c r="F7" s="16">
        <v>380.0</v>
      </c>
      <c r="G7" s="20" t="s">
        <v>238</v>
      </c>
      <c r="H7" s="39"/>
      <c r="I7" s="39"/>
      <c r="J7" s="16">
        <v>1600.0</v>
      </c>
      <c r="K7" s="49"/>
    </row>
    <row r="8">
      <c r="A8" s="11"/>
      <c r="B8" s="6" t="s">
        <v>239</v>
      </c>
      <c r="C8" s="11"/>
      <c r="D8" s="52" t="s">
        <v>203</v>
      </c>
      <c r="E8" s="6">
        <v>35.0</v>
      </c>
      <c r="F8" s="11"/>
      <c r="G8" s="11"/>
      <c r="H8" s="11"/>
      <c r="I8" s="11"/>
      <c r="J8" s="11"/>
      <c r="K8" s="49"/>
    </row>
    <row r="9">
      <c r="A9" s="11"/>
      <c r="B9" s="6" t="s">
        <v>15</v>
      </c>
      <c r="C9" s="11"/>
      <c r="D9" s="6" t="s">
        <v>240</v>
      </c>
      <c r="E9" s="6">
        <v>20.0</v>
      </c>
      <c r="F9" s="11"/>
      <c r="G9" s="11"/>
      <c r="H9" s="11"/>
      <c r="I9" s="11"/>
      <c r="J9" s="11"/>
      <c r="K9" s="49"/>
    </row>
    <row r="10">
      <c r="A10" s="11"/>
      <c r="B10" s="6" t="s">
        <v>33</v>
      </c>
      <c r="C10" s="11"/>
      <c r="D10" s="30"/>
      <c r="E10" s="6">
        <v>6.0</v>
      </c>
      <c r="F10" s="11"/>
      <c r="G10" s="11"/>
      <c r="H10" s="11"/>
      <c r="I10" s="11"/>
      <c r="J10" s="11"/>
    </row>
    <row r="11">
      <c r="A11" s="11"/>
      <c r="B11" s="6" t="s">
        <v>209</v>
      </c>
      <c r="C11" s="12"/>
      <c r="D11" s="6" t="s">
        <v>241</v>
      </c>
      <c r="E11" s="6">
        <v>32.0</v>
      </c>
      <c r="F11" s="12"/>
      <c r="G11" s="12"/>
      <c r="H11" s="12"/>
      <c r="I11" s="12"/>
      <c r="J11" s="12"/>
      <c r="K11" s="49"/>
    </row>
    <row r="12">
      <c r="A12" s="11"/>
      <c r="B12" s="6" t="s">
        <v>26</v>
      </c>
      <c r="C12" s="18" t="s">
        <v>211</v>
      </c>
      <c r="D12" s="6" t="s">
        <v>212</v>
      </c>
      <c r="E12" s="6">
        <v>60.0</v>
      </c>
      <c r="F12" s="6">
        <v>139.0</v>
      </c>
      <c r="G12" s="32" t="s">
        <v>242</v>
      </c>
      <c r="H12" s="30"/>
      <c r="I12" s="30"/>
      <c r="J12" s="6">
        <v>856.0</v>
      </c>
      <c r="K12" s="49"/>
    </row>
    <row r="13">
      <c r="A13" s="11"/>
      <c r="B13" s="6" t="s">
        <v>19</v>
      </c>
      <c r="C13" s="18" t="s">
        <v>214</v>
      </c>
      <c r="D13" s="6" t="s">
        <v>215</v>
      </c>
      <c r="E13" s="6">
        <v>20.0</v>
      </c>
      <c r="F13" s="6">
        <v>7.0</v>
      </c>
      <c r="G13" s="18" t="s">
        <v>214</v>
      </c>
      <c r="H13" s="30"/>
      <c r="I13" s="30"/>
      <c r="J13" s="30">
        <f>5*7</f>
        <v>35</v>
      </c>
      <c r="K13" s="49"/>
    </row>
    <row r="14">
      <c r="A14" s="11"/>
      <c r="B14" s="6" t="s">
        <v>25</v>
      </c>
      <c r="C14" s="18" t="s">
        <v>217</v>
      </c>
      <c r="D14" s="6" t="s">
        <v>243</v>
      </c>
      <c r="E14" s="6">
        <v>10.0</v>
      </c>
      <c r="F14" s="6">
        <v>5.0</v>
      </c>
      <c r="G14" s="18" t="s">
        <v>217</v>
      </c>
      <c r="H14" s="29"/>
      <c r="I14" s="30"/>
      <c r="J14" s="30">
        <f>5*5</f>
        <v>25</v>
      </c>
      <c r="K14" s="49"/>
    </row>
    <row r="15">
      <c r="A15" s="11"/>
      <c r="B15" s="6" t="s">
        <v>244</v>
      </c>
      <c r="C15" s="18" t="s">
        <v>219</v>
      </c>
      <c r="D15" s="30"/>
      <c r="E15" s="6">
        <v>53.0</v>
      </c>
      <c r="F15" s="6">
        <v>15.0</v>
      </c>
      <c r="G15" s="18" t="s">
        <v>219</v>
      </c>
      <c r="H15" s="30"/>
      <c r="I15" s="30"/>
      <c r="J15" s="30">
        <f>15*5</f>
        <v>75</v>
      </c>
      <c r="K15" s="53"/>
    </row>
    <row r="16">
      <c r="A16" s="11"/>
      <c r="B16" s="6" t="s">
        <v>245</v>
      </c>
      <c r="C16" s="18" t="s">
        <v>222</v>
      </c>
      <c r="D16" s="30"/>
      <c r="E16" s="6">
        <v>6.1</v>
      </c>
      <c r="F16" s="6">
        <v>28.0</v>
      </c>
      <c r="G16" s="18" t="s">
        <v>222</v>
      </c>
      <c r="H16" s="30"/>
      <c r="I16" s="30"/>
      <c r="J16" s="30">
        <f>28*5</f>
        <v>140</v>
      </c>
      <c r="K16" s="49"/>
    </row>
    <row r="17">
      <c r="A17" s="11"/>
      <c r="B17" s="6" t="s">
        <v>246</v>
      </c>
      <c r="C17" s="18" t="s">
        <v>199</v>
      </c>
      <c r="D17" s="25" t="s">
        <v>200</v>
      </c>
      <c r="E17" s="6">
        <v>4.6</v>
      </c>
      <c r="F17" s="6">
        <v>20.0</v>
      </c>
      <c r="G17" s="32" t="s">
        <v>247</v>
      </c>
      <c r="H17" s="30"/>
      <c r="I17" s="30"/>
      <c r="J17" s="6">
        <v>130.0</v>
      </c>
    </row>
    <row r="18">
      <c r="A18" s="12"/>
      <c r="B18" s="6" t="s">
        <v>248</v>
      </c>
      <c r="C18" s="18" t="s">
        <v>195</v>
      </c>
      <c r="D18" s="6" t="s">
        <v>196</v>
      </c>
      <c r="E18" s="6">
        <v>60.0</v>
      </c>
      <c r="F18" s="6">
        <v>61.0</v>
      </c>
      <c r="G18" s="18" t="s">
        <v>195</v>
      </c>
      <c r="H18" s="30"/>
      <c r="I18" s="30"/>
      <c r="J18" s="30">
        <f>61*5</f>
        <v>305</v>
      </c>
      <c r="K18" s="53"/>
    </row>
    <row r="19">
      <c r="A19" s="6" t="s">
        <v>249</v>
      </c>
      <c r="B19" s="6" t="s">
        <v>250</v>
      </c>
      <c r="C19" s="13" t="s">
        <v>189</v>
      </c>
      <c r="D19" s="6" t="s">
        <v>251</v>
      </c>
      <c r="E19" s="6">
        <v>630.0</v>
      </c>
      <c r="F19" s="6">
        <v>73.0</v>
      </c>
      <c r="G19" s="32" t="s">
        <v>252</v>
      </c>
      <c r="H19" s="30"/>
      <c r="I19" s="30"/>
      <c r="J19" s="6">
        <v>498.0</v>
      </c>
      <c r="K19" s="49"/>
    </row>
    <row r="20">
      <c r="E20" s="1">
        <f>E3+E4+E5+E6+E7+E8+E9+E10+E11+E12+E13+E14+E15+E16+E17+E18+E19</f>
        <v>2692.9</v>
      </c>
      <c r="F20" s="1">
        <f>F3+F4+F5+F6+F7+F12+F13+F14+F15+F16+F17+F18+F19</f>
        <v>1149</v>
      </c>
      <c r="J20" s="1">
        <f>178*5+257*5+122*5+4689</f>
        <v>7474</v>
      </c>
    </row>
  </sheetData>
  <mergeCells count="8">
    <mergeCell ref="A3:A6"/>
    <mergeCell ref="A7:A18"/>
    <mergeCell ref="C7:C11"/>
    <mergeCell ref="F7:F11"/>
    <mergeCell ref="G7:G11"/>
    <mergeCell ref="H7:H11"/>
    <mergeCell ref="I7:I11"/>
    <mergeCell ref="J7:J11"/>
  </mergeCells>
  <hyperlinks>
    <hyperlink r:id="rId1" ref="C3"/>
    <hyperlink r:id="rId2" ref="G3"/>
    <hyperlink r:id="rId3" ref="C4"/>
    <hyperlink r:id="rId4" ref="G4"/>
    <hyperlink r:id="rId5" ref="C5"/>
    <hyperlink r:id="rId6" ref="G5"/>
    <hyperlink r:id="rId7" ref="C6"/>
    <hyperlink r:id="rId8" ref="G6"/>
    <hyperlink r:id="rId9" ref="C7"/>
    <hyperlink r:id="rId10" ref="G7"/>
    <hyperlink r:id="rId11" ref="C12"/>
    <hyperlink r:id="rId12" ref="G12"/>
    <hyperlink r:id="rId13" ref="C13"/>
    <hyperlink r:id="rId14" ref="G13"/>
    <hyperlink r:id="rId15" ref="C14"/>
    <hyperlink r:id="rId16" ref="G14"/>
    <hyperlink r:id="rId17" ref="C15"/>
    <hyperlink r:id="rId18" ref="G15"/>
    <hyperlink r:id="rId19" ref="C16"/>
    <hyperlink r:id="rId20" ref="G16"/>
    <hyperlink r:id="rId21" ref="C17"/>
    <hyperlink r:id="rId22" ref="G17"/>
    <hyperlink r:id="rId23" ref="C18"/>
    <hyperlink r:id="rId24" ref="G18"/>
    <hyperlink r:id="rId25" ref="C19"/>
    <hyperlink r:id="rId26" ref="G19"/>
  </hyperlinks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2026-05-11T23:36:08Z</dcterms:created>
  <dc:creator>Daniel Yang</dc:creator>
</cp:coreProperties>
</file>